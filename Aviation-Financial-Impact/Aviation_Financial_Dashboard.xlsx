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Data\React\DataAnalyst\ExcelProject\"/>
    </mc:Choice>
  </mc:AlternateContent>
  <xr:revisionPtr revIDLastSave="0" documentId="8_{267BC098-CF0D-4C52-A31F-AEEA3BB9853C}" xr6:coauthVersionLast="47" xr6:coauthVersionMax="47" xr10:uidLastSave="{00000000-0000-0000-0000-000000000000}"/>
  <bookViews>
    <workbookView xWindow="-120" yWindow="-120" windowWidth="20730" windowHeight="11160" firstSheet="1" activeTab="3" xr2:uid="{96849C75-6AEB-4E6B-B737-964E58AD6568}"/>
  </bookViews>
  <sheets>
    <sheet name="airline_financial_impact" sheetId="1" r:id="rId1"/>
    <sheet name="staging" sheetId="2" r:id="rId2"/>
    <sheet name="PivotData" sheetId="3" r:id="rId3"/>
    <sheet name="Dashboard" sheetId="5" r:id="rId4"/>
  </sheets>
  <definedNames>
    <definedName name="_xlnm._FilterDatabase" localSheetId="1" hidden="1">staging!$A$1:$V$726</definedName>
    <definedName name="Slicer_airline_type">#N/A</definedName>
    <definedName name="Slicer_conflict_phas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2" i="2"/>
</calcChain>
</file>

<file path=xl/sharedStrings.xml><?xml version="1.0" encoding="utf-8"?>
<sst xmlns="http://schemas.openxmlformats.org/spreadsheetml/2006/main" count="10229" uniqueCount="153">
  <si>
    <t>quarter</t>
  </si>
  <si>
    <t>month</t>
  </si>
  <si>
    <t>conflict_phase</t>
  </si>
  <si>
    <t>airline</t>
  </si>
  <si>
    <t>country</t>
  </si>
  <si>
    <t>region</t>
  </si>
  <si>
    <t>airline_type</t>
  </si>
  <si>
    <t>fleet_size</t>
  </si>
  <si>
    <t>revenue_usd_m</t>
  </si>
  <si>
    <t>fuel_cost_usd_m</t>
  </si>
  <si>
    <t>fuel_cost_pct_revenue</t>
  </si>
  <si>
    <t>net_profit_usd_m</t>
  </si>
  <si>
    <t>profit_margin_pct</t>
  </si>
  <si>
    <t>passengers_carried_m</t>
  </si>
  <si>
    <t>fuel_hedging_pct</t>
  </si>
  <si>
    <t>hedge_savings_usd_m</t>
  </si>
  <si>
    <t>brent_crude_usd_barrel</t>
  </si>
  <si>
    <t>jet_fuel_usd_barrel</t>
  </si>
  <si>
    <t>daily_fuel_consumption_bbl</t>
  </si>
  <si>
    <t>quarterly_fuel_bbl</t>
  </si>
  <si>
    <t>2019-Q1</t>
  </si>
  <si>
    <t>2019-01</t>
  </si>
  <si>
    <t>Pre-Pandemic Baseline</t>
  </si>
  <si>
    <t>Emirates</t>
  </si>
  <si>
    <t>UAE</t>
  </si>
  <si>
    <t>Middle East</t>
  </si>
  <si>
    <t>Flag Carrier</t>
  </si>
  <si>
    <t>2019-Q2</t>
  </si>
  <si>
    <t>2019-04</t>
  </si>
  <si>
    <t>2019-Q3</t>
  </si>
  <si>
    <t>2019-07</t>
  </si>
  <si>
    <t>2019-Q4</t>
  </si>
  <si>
    <t>2019-10</t>
  </si>
  <si>
    <t>2020-Q1</t>
  </si>
  <si>
    <t>2020-01</t>
  </si>
  <si>
    <t>2020-Q2</t>
  </si>
  <si>
    <t>2020-04</t>
  </si>
  <si>
    <t>COVID-19 Collapse</t>
  </si>
  <si>
    <t>2020-Q3</t>
  </si>
  <si>
    <t>2020-07</t>
  </si>
  <si>
    <t>2020-Q4</t>
  </si>
  <si>
    <t>2020-10</t>
  </si>
  <si>
    <t>2021-Q1</t>
  </si>
  <si>
    <t>2021-01</t>
  </si>
  <si>
    <t>2021-Q2</t>
  </si>
  <si>
    <t>2021-04</t>
  </si>
  <si>
    <t>2021-Q3</t>
  </si>
  <si>
    <t>2021-07</t>
  </si>
  <si>
    <t>Recovery &amp; Surge</t>
  </si>
  <si>
    <t>2021-Q4</t>
  </si>
  <si>
    <t>2021-10</t>
  </si>
  <si>
    <t>2022-Q1</t>
  </si>
  <si>
    <t>2022-01</t>
  </si>
  <si>
    <t>2022-Q2</t>
  </si>
  <si>
    <t>2022-04</t>
  </si>
  <si>
    <t>Ukraine War Shock</t>
  </si>
  <si>
    <t>2022-Q3</t>
  </si>
  <si>
    <t>2022-07</t>
  </si>
  <si>
    <t>2022-Q4</t>
  </si>
  <si>
    <t>2022-10</t>
  </si>
  <si>
    <t>2023-Q1</t>
  </si>
  <si>
    <t>2023-01</t>
  </si>
  <si>
    <t>Stabilisation</t>
  </si>
  <si>
    <t>2023-Q2</t>
  </si>
  <si>
    <t>2023-04</t>
  </si>
  <si>
    <t>2023-Q3</t>
  </si>
  <si>
    <t>2023-07</t>
  </si>
  <si>
    <t>2023-Q4</t>
  </si>
  <si>
    <t>2023-10</t>
  </si>
  <si>
    <t>Gaza-Israel Conflict</t>
  </si>
  <si>
    <t>2024-Q1</t>
  </si>
  <si>
    <t>2024-01</t>
  </si>
  <si>
    <t>2024-Q2</t>
  </si>
  <si>
    <t>2024-04</t>
  </si>
  <si>
    <t>2024-Q3</t>
  </si>
  <si>
    <t>2024-07</t>
  </si>
  <si>
    <t>2024-Q4</t>
  </si>
  <si>
    <t>2024-10</t>
  </si>
  <si>
    <t>2025-Q1</t>
  </si>
  <si>
    <t>2025-01</t>
  </si>
  <si>
    <t>Pre-Iran Escalation</t>
  </si>
  <si>
    <t>2025-Q2</t>
  </si>
  <si>
    <t>2025-04</t>
  </si>
  <si>
    <t>2025-Q3</t>
  </si>
  <si>
    <t>2025-07</t>
  </si>
  <si>
    <t>2025-Q4</t>
  </si>
  <si>
    <t>2025-10</t>
  </si>
  <si>
    <t>2026-Q1</t>
  </si>
  <si>
    <t>2026-01</t>
  </si>
  <si>
    <t>US-Iran War Conflict</t>
  </si>
  <si>
    <t>Qatar Airways</t>
  </si>
  <si>
    <t>Qatar</t>
  </si>
  <si>
    <t>Etihad Airways</t>
  </si>
  <si>
    <t>flydubai</t>
  </si>
  <si>
    <t>Low Cost</t>
  </si>
  <si>
    <t>Air Arabia</t>
  </si>
  <si>
    <t>Gulf Air</t>
  </si>
  <si>
    <t>Bahrain</t>
  </si>
  <si>
    <t>Kuwait Airways</t>
  </si>
  <si>
    <t>Kuwait</t>
  </si>
  <si>
    <t>Oman Air</t>
  </si>
  <si>
    <t>Oman</t>
  </si>
  <si>
    <t>Saudia</t>
  </si>
  <si>
    <t>Saudi Arabia</t>
  </si>
  <si>
    <t>flynas</t>
  </si>
  <si>
    <t>Singapore Airlines</t>
  </si>
  <si>
    <t>Singapore</t>
  </si>
  <si>
    <t>Asia</t>
  </si>
  <si>
    <t>Cathay Pacific</t>
  </si>
  <si>
    <t>Hong Kong</t>
  </si>
  <si>
    <t>Air India</t>
  </si>
  <si>
    <t>India</t>
  </si>
  <si>
    <t>Korean Air</t>
  </si>
  <si>
    <t>South Korea</t>
  </si>
  <si>
    <t>Japan Airlines</t>
  </si>
  <si>
    <t>Japan</t>
  </si>
  <si>
    <t>Lufthansa</t>
  </si>
  <si>
    <t>Germany</t>
  </si>
  <si>
    <t>Europe</t>
  </si>
  <si>
    <t>British Airways</t>
  </si>
  <si>
    <t>UK</t>
  </si>
  <si>
    <t>Air France</t>
  </si>
  <si>
    <t>France</t>
  </si>
  <si>
    <t>Turkish Airlines</t>
  </si>
  <si>
    <t>Turkey</t>
  </si>
  <si>
    <t>Ryanair</t>
  </si>
  <si>
    <t>Ireland</t>
  </si>
  <si>
    <t>American Airlines</t>
  </si>
  <si>
    <t>USA</t>
  </si>
  <si>
    <t>N. America</t>
  </si>
  <si>
    <t>United Airlines</t>
  </si>
  <si>
    <t>Delta Air Lines</t>
  </si>
  <si>
    <t>Ethiopian Airlines</t>
  </si>
  <si>
    <t>Ethiopia</t>
  </si>
  <si>
    <t>Africa</t>
  </si>
  <si>
    <t>EgyptAir</t>
  </si>
  <si>
    <t>Egypt</t>
  </si>
  <si>
    <t>Year</t>
  </si>
  <si>
    <t>Month</t>
  </si>
  <si>
    <t>Row Labels</t>
  </si>
  <si>
    <t>Grand Total</t>
  </si>
  <si>
    <t>Conflict Phase</t>
  </si>
  <si>
    <t>Avg Margin %</t>
  </si>
  <si>
    <t>Avg Fuel Cost %</t>
  </si>
  <si>
    <t>Total Passengers (M)</t>
  </si>
  <si>
    <t>Total Revenue ($M)</t>
  </si>
  <si>
    <t>Net Profit ($M)</t>
  </si>
  <si>
    <t>Profit Margin (%)</t>
  </si>
  <si>
    <t>Jet Fuel Price ($/bbl)</t>
  </si>
  <si>
    <t>Hedge Savings ($M)</t>
  </si>
  <si>
    <t>Fuel Hedging( %)</t>
  </si>
  <si>
    <t>Global Aviation Financial Resilience &amp; Strategic Risk Analysis (2019–2024)</t>
  </si>
  <si>
    <t>An interactive analysis of 700+ financial records across 8 global conflict phases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</si>
</sst>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_);_(&quot;$&quot;* \(#,##0\);_(&quot;$&quot;* &quot;-&quot;??_);_(@_)"/>
    <numFmt numFmtId="166" formatCode="_(* #,##0_);_(* \(#,##0\);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name val="Calibri"/>
      <family val="2"/>
    </font>
    <font>
      <sz val="18"/>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164" fontId="0" fillId="0" borderId="0" xfId="0" applyNumberFormat="1"/>
    <xf numFmtId="166" fontId="0" fillId="0" borderId="0" xfId="0" applyNumberFormat="1"/>
    <xf numFmtId="0" fontId="0" fillId="0" borderId="0" xfId="0" pivotButton="1" applyAlignment="1">
      <alignment wrapText="1"/>
    </xf>
    <xf numFmtId="0" fontId="0" fillId="0" borderId="0" xfId="0" applyAlignment="1">
      <alignment wrapText="1"/>
    </xf>
    <xf numFmtId="164" fontId="0" fillId="0" borderId="0" xfId="0" applyNumberFormat="1" applyAlignment="1">
      <alignment wrapText="1"/>
    </xf>
    <xf numFmtId="0" fontId="17" fillId="9" borderId="0" xfId="18"/>
    <xf numFmtId="0" fontId="18" fillId="9" borderId="0" xfId="18" applyFont="1" applyAlignment="1">
      <alignment horizontal="center" vertical="center"/>
    </xf>
    <xf numFmtId="0" fontId="19" fillId="9" borderId="0" xfId="18" applyFont="1" applyAlignment="1">
      <alignment horizontal="center" vertical="top"/>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2">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3"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 formatCode="0"/>
    </dxf>
    <dxf>
      <numFmt numFmtId="164" formatCode="_(&quot;$&quot;* #,##0_);_(&quot;$&quot;* \(#,##0\);_(&quot;$&quot;* &quot;-&quot;??_);_(@_)"/>
    </dxf>
    <dxf>
      <numFmt numFmtId="164" formatCode="_(&quot;$&quot;* #,##0_);_(&quot;$&quot;* \(#,##0\);_(&quot;$&quot;* &quot;-&quot;??_);_(@_)"/>
    </dxf>
    <dxf>
      <alignment wrapText="1"/>
    </dxf>
    <dxf>
      <alignment wrapText="1"/>
    </dxf>
    <dxf>
      <numFmt numFmtId="13" formatCode="0%"/>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3"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 formatCode="0"/>
    </dxf>
    <dxf>
      <numFmt numFmtId="164" formatCode="_(&quot;$&quot;* #,##0_);_(&quot;$&quot;* \(#,##0\);_(&quot;$&quot;* &quot;-&quot;??_);_(@_)"/>
    </dxf>
    <dxf>
      <numFmt numFmtId="164" formatCode="_(&quot;$&quot;* #,##0_);_(&quot;$&quot;* \(#,##0\);_(&quot;$&quot;* &quot;-&quot;??_);_(@_)"/>
    </dxf>
    <dxf>
      <alignment wrapText="1"/>
    </dxf>
    <dxf>
      <alignment wrapText="1"/>
    </dxf>
    <dxf>
      <numFmt numFmtId="13" formatCode="0%"/>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3"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 formatCode="0"/>
    </dxf>
    <dxf>
      <numFmt numFmtId="164" formatCode="_(&quot;$&quot;* #,##0_);_(&quot;$&quot;* \(#,##0\);_(&quot;$&quot;* &quot;-&quot;??_);_(@_)"/>
    </dxf>
    <dxf>
      <numFmt numFmtId="164" formatCode="_(&quot;$&quot;* #,##0_);_(&quot;$&quot;* \(#,##0\);_(&quot;$&quot;* &quot;-&quot;??_);_(@_)"/>
    </dxf>
    <dxf>
      <alignment wrapText="1"/>
    </dxf>
    <dxf>
      <alignment wrapText="1"/>
    </dxf>
    <dxf>
      <numFmt numFmtId="13" formatCode="0%"/>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3"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 formatCode="0"/>
    </dxf>
    <dxf>
      <numFmt numFmtId="164" formatCode="_(&quot;$&quot;* #,##0_);_(&quot;$&quot;* \(#,##0\);_(&quot;$&quot;* &quot;-&quot;??_);_(@_)"/>
    </dxf>
    <dxf>
      <numFmt numFmtId="164" formatCode="_(&quot;$&quot;* #,##0_);_(&quot;$&quot;* \(#,##0\);_(&quot;$&quot;* &quot;-&quot;??_);_(@_)"/>
    </dxf>
    <dxf>
      <alignment wrapText="1"/>
    </dxf>
    <dxf>
      <alignment wrapText="1"/>
    </dxf>
    <dxf>
      <numFmt numFmtId="13" formatCode="0%"/>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3" formatCode="0%"/>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 formatCode="0"/>
    </dxf>
    <dxf>
      <numFmt numFmtId="164" formatCode="_(&quot;$&quot;* #,##0_);_(&quot;$&quot;* \(#,##0\);_(&quot;$&quot;* &quot;-&quot;??_);_(@_)"/>
    </dxf>
    <dxf>
      <numFmt numFmtId="164" formatCode="_(&quot;$&quot;* #,##0_);_(&quot;$&quot;* \(#,##0\);_(&quot;$&quot;* &quot;-&quot;??_);_(@_)"/>
    </dxf>
    <dxf>
      <alignment wrapText="1"/>
    </dxf>
    <dxf>
      <alignment wrapText="1"/>
    </dxf>
    <dxf>
      <numFmt numFmtId="13" formatCode="0%"/>
    </dxf>
    <dxf>
      <numFmt numFmtId="165" formatCode="0.0%"/>
    </dxf>
    <dxf>
      <numFmt numFmtId="13" formatCode="0%"/>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numFmt numFmtId="165" formatCode="0.0%"/>
    </dxf>
    <dxf>
      <numFmt numFmtId="13" formatCode="0%"/>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3" formatCode="0%"/>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font>
        <color rgb="FF9C0006"/>
      </font>
      <fill>
        <patternFill>
          <bgColor rgb="FFFFC7CE"/>
        </patternFill>
      </fill>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numFmt numFmtId="165" formatCode="0.0%"/>
    </dxf>
    <dxf>
      <numFmt numFmtId="165" formatCode="0.0%"/>
    </dxf>
    <dxf>
      <numFmt numFmtId="165" formatCode="0.0%"/>
    </dxf>
    <dxf>
      <numFmt numFmtId="166" formatCode="_(* #,##0_);_(* \(#,##0\);_(* &quot;-&quot;??_);_(@_)"/>
    </dxf>
    <dxf>
      <numFmt numFmtId="166" formatCode="_(* #,##0_);_(* \(#,##0\);_(*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alignment wrapText="1"/>
    </dxf>
    <dxf>
      <alignment wrapText="1"/>
    </dxf>
    <dxf>
      <numFmt numFmtId="164" formatCode="_(&quot;$&quot;* #,##0_);_(&quot;$&quot;* \(#,##0\);_(&quot;$&quot;* &quot;-&quot;??_);_(@_)"/>
    </dxf>
    <dxf>
      <numFmt numFmtId="165" formatCode="0.0%"/>
    </dxf>
    <dxf>
      <numFmt numFmtId="164" formatCode="_(&quot;$&quot;* #,##0_);_(&quot;$&quot;* \(#,##0\);_(&quot;$&quot;* &quot;-&quot;??_);_(@_)"/>
    </dxf>
    <dxf>
      <numFmt numFmtId="34" formatCode="_(&quot;$&quot;* #,##0.00_);_(&quot;$&quot;* \(#,##0.00\);_(&quot;$&quot;* &quot;-&quot;??_);_(@_)"/>
    </dxf>
    <dxf>
      <alignment wrapText="1"/>
    </dxf>
    <dxf>
      <alignment wrapText="1"/>
    </dxf>
    <dxf>
      <numFmt numFmtId="1" formatCode="0"/>
    </dxf>
    <dxf>
      <numFmt numFmtId="164" formatCode="_(&quot;$&quot;* #,##0_);_(&quot;$&quot;* \(#,##0\);_(&quot;$&quot;* &quot;-&quot;??_);_(@_)"/>
    </dxf>
    <dxf>
      <numFmt numFmtId="164" formatCode="_(&quot;$&quot;* #,##0_);_(&quot;$&quot;* \(#,##0\);_(&quot;$&quot;* &quot;-&quot;??_);_(@_)"/>
    </dxf>
    <dxf>
      <numFmt numFmtId="165" formatCode="0.0%"/>
    </dxf>
    <dxf>
      <alignment wrapText="1"/>
    </dxf>
    <dxf>
      <alignment wrapText="1"/>
    </dxf>
    <dxf>
      <alignment wrapText="1"/>
    </dxf>
    <dxf>
      <alignment wrapText="1"/>
    </dxf>
    <dxf>
      <numFmt numFmtId="164" formatCode="_(&quot;$&quot;* #,##0_);_(&quot;$&quot;* \(#,##0\);_(&quot;$&quot;* &quot;-&quot;??_);_(@_)"/>
    </dxf>
    <dxf>
      <numFmt numFmtId="164" formatCode="_(&quot;$&quot;* #,##0_);_(&quot;$&quot;* \(#,##0\);_(&quot;$&quot;* &quot;-&quot;??_);_(@_)"/>
    </dxf>
    <dxf>
      <numFmt numFmtId="1" formatCode="0"/>
    </dxf>
    <dxf>
      <alignment wrapText="1"/>
    </dxf>
    <dxf>
      <alignment wrapText="1"/>
    </dxf>
    <dxf>
      <numFmt numFmtId="166" formatCode="_(* #,##0_);_(* \(#,##0\);_(* &quot;-&quot;??_);_(@_)"/>
    </dxf>
    <dxf>
      <numFmt numFmtId="166" formatCode="_(* #,##0_);_(* \(#,##0\);_(* &quot;-&quot;??_);_(@_)"/>
    </dxf>
    <dxf>
      <numFmt numFmtId="165" formatCode="0.0%"/>
    </dxf>
    <dxf>
      <numFmt numFmtId="165" formatCode="0.0%"/>
    </dxf>
    <dxf>
      <numFmt numFmtId="165" formatCode="0.0%"/>
    </dxf>
    <dxf>
      <alignment wrapText="1"/>
    </dxf>
    <dxf>
      <alignment wrapText="1"/>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alignment wrapText="1"/>
    </dxf>
    <dxf>
      <alignment wrapText="1"/>
    </dxf>
    <dxf>
      <numFmt numFmtId="34" formatCode="_(&quot;$&quot;* #,##0.00_);_(&quot;$&quot;* \(#,##0.0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PivotData!$B$3</c:f>
              <c:strCache>
                <c:ptCount val="1"/>
                <c:pt idx="0">
                  <c:v>Total Revenue ($M)</c:v>
                </c:pt>
              </c:strCache>
            </c:strRef>
          </c:tx>
          <c:spPr>
            <a:solidFill>
              <a:schemeClr val="accent1"/>
            </a:solidFill>
            <a:ln>
              <a:noFill/>
            </a:ln>
            <a:effectLst/>
          </c:spPr>
          <c:invertIfNegative val="0"/>
          <c:cat>
            <c:strRef>
              <c:f>PivotData!$A$4:$A$6</c:f>
              <c:strCache>
                <c:ptCount val="2"/>
                <c:pt idx="0">
                  <c:v>Ukraine War Shock</c:v>
                </c:pt>
                <c:pt idx="1">
                  <c:v>Stabilisation</c:v>
                </c:pt>
              </c:strCache>
            </c:strRef>
          </c:cat>
          <c:val>
            <c:numRef>
              <c:f>PivotData!$B$4:$B$6</c:f>
              <c:numCache>
                <c:formatCode>_("$"* #,##0_);_("$"* \(#,##0\);_("$"* "-"??_);_(@_)</c:formatCode>
                <c:ptCount val="2"/>
                <c:pt idx="0">
                  <c:v>312007.51999999984</c:v>
                </c:pt>
                <c:pt idx="1">
                  <c:v>312957.92999999982</c:v>
                </c:pt>
              </c:numCache>
            </c:numRef>
          </c:val>
          <c:extLst>
            <c:ext xmlns:c16="http://schemas.microsoft.com/office/drawing/2014/chart" uri="{C3380CC4-5D6E-409C-BE32-E72D297353CC}">
              <c16:uniqueId val="{00000000-C152-4860-A905-3AACD0C6D338}"/>
            </c:ext>
          </c:extLst>
        </c:ser>
        <c:ser>
          <c:idx val="1"/>
          <c:order val="1"/>
          <c:tx>
            <c:strRef>
              <c:f>PivotData!$C$3</c:f>
              <c:strCache>
                <c:ptCount val="1"/>
                <c:pt idx="0">
                  <c:v>Net Profit ($M)</c:v>
                </c:pt>
              </c:strCache>
            </c:strRef>
          </c:tx>
          <c:spPr>
            <a:solidFill>
              <a:schemeClr val="accent2"/>
            </a:solidFill>
            <a:ln>
              <a:noFill/>
            </a:ln>
            <a:effectLst/>
          </c:spPr>
          <c:invertIfNegative val="0"/>
          <c:cat>
            <c:strRef>
              <c:f>PivotData!$A$4:$A$6</c:f>
              <c:strCache>
                <c:ptCount val="2"/>
                <c:pt idx="0">
                  <c:v>Ukraine War Shock</c:v>
                </c:pt>
                <c:pt idx="1">
                  <c:v>Stabilisation</c:v>
                </c:pt>
              </c:strCache>
            </c:strRef>
          </c:cat>
          <c:val>
            <c:numRef>
              <c:f>PivotData!$C$4:$C$6</c:f>
              <c:numCache>
                <c:formatCode>_("$"* #,##0_);_("$"* \(#,##0\);_("$"* "-"??_);_(@_)</c:formatCode>
                <c:ptCount val="2"/>
                <c:pt idx="0">
                  <c:v>18815.009999999991</c:v>
                </c:pt>
                <c:pt idx="1">
                  <c:v>26890.530000000013</c:v>
                </c:pt>
              </c:numCache>
            </c:numRef>
          </c:val>
          <c:extLst>
            <c:ext xmlns:c16="http://schemas.microsoft.com/office/drawing/2014/chart" uri="{C3380CC4-5D6E-409C-BE32-E72D297353CC}">
              <c16:uniqueId val="{00000001-C152-4860-A905-3AACD0C6D338}"/>
            </c:ext>
          </c:extLst>
        </c:ser>
        <c:dLbls>
          <c:showLegendKey val="0"/>
          <c:showVal val="0"/>
          <c:showCatName val="0"/>
          <c:showSerName val="0"/>
          <c:showPercent val="0"/>
          <c:showBubbleSize val="0"/>
        </c:dLbls>
        <c:gapWidth val="219"/>
        <c:overlap val="-27"/>
        <c:axId val="576378575"/>
        <c:axId val="576375695"/>
      </c:barChart>
      <c:lineChart>
        <c:grouping val="standard"/>
        <c:varyColors val="0"/>
        <c:ser>
          <c:idx val="2"/>
          <c:order val="2"/>
          <c:tx>
            <c:strRef>
              <c:f>PivotData!$D$3</c:f>
              <c:strCache>
                <c:ptCount val="1"/>
                <c:pt idx="0">
                  <c:v>Profit Margin (%)</c:v>
                </c:pt>
              </c:strCache>
            </c:strRef>
          </c:tx>
          <c:spPr>
            <a:ln w="28575" cap="rnd">
              <a:solidFill>
                <a:schemeClr val="accent3"/>
              </a:solidFill>
              <a:round/>
            </a:ln>
            <a:effectLst/>
          </c:spPr>
          <c:marker>
            <c:symbol val="none"/>
          </c:marker>
          <c:cat>
            <c:strRef>
              <c:f>PivotData!$A$4:$A$6</c:f>
              <c:strCache>
                <c:ptCount val="2"/>
                <c:pt idx="0">
                  <c:v>Ukraine War Shock</c:v>
                </c:pt>
                <c:pt idx="1">
                  <c:v>Stabilisation</c:v>
                </c:pt>
              </c:strCache>
            </c:strRef>
          </c:cat>
          <c:val>
            <c:numRef>
              <c:f>PivotData!$D$4:$D$6</c:f>
              <c:numCache>
                <c:formatCode>0%</c:formatCode>
                <c:ptCount val="2"/>
                <c:pt idx="0">
                  <c:v>6.1519999999999998E-2</c:v>
                </c:pt>
                <c:pt idx="1">
                  <c:v>8.6168000000000008E-2</c:v>
                </c:pt>
              </c:numCache>
            </c:numRef>
          </c:val>
          <c:smooth val="0"/>
          <c:extLst>
            <c:ext xmlns:c16="http://schemas.microsoft.com/office/drawing/2014/chart" uri="{C3380CC4-5D6E-409C-BE32-E72D297353CC}">
              <c16:uniqueId val="{00000002-C152-4860-A905-3AACD0C6D338}"/>
            </c:ext>
          </c:extLst>
        </c:ser>
        <c:dLbls>
          <c:showLegendKey val="0"/>
          <c:showVal val="0"/>
          <c:showCatName val="0"/>
          <c:showSerName val="0"/>
          <c:showPercent val="0"/>
          <c:showBubbleSize val="0"/>
        </c:dLbls>
        <c:marker val="1"/>
        <c:smooth val="0"/>
        <c:axId val="573645551"/>
        <c:axId val="573646511"/>
      </c:lineChart>
      <c:catAx>
        <c:axId val="57637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75695"/>
        <c:crosses val="autoZero"/>
        <c:auto val="1"/>
        <c:lblAlgn val="ctr"/>
        <c:lblOffset val="100"/>
        <c:noMultiLvlLbl val="0"/>
      </c:catAx>
      <c:valAx>
        <c:axId val="5763756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78575"/>
        <c:crosses val="autoZero"/>
        <c:crossBetween val="between"/>
      </c:valAx>
      <c:valAx>
        <c:axId val="5736465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45551"/>
        <c:crosses val="max"/>
        <c:crossBetween val="between"/>
      </c:valAx>
      <c:catAx>
        <c:axId val="573645551"/>
        <c:scaling>
          <c:orientation val="minMax"/>
        </c:scaling>
        <c:delete val="1"/>
        <c:axPos val="b"/>
        <c:numFmt formatCode="General" sourceLinked="1"/>
        <c:majorTickMark val="out"/>
        <c:minorTickMark val="none"/>
        <c:tickLblPos val="nextTo"/>
        <c:crossAx val="573646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PivotData!$C$51</c:f>
              <c:strCache>
                <c:ptCount val="1"/>
                <c:pt idx="0">
                  <c:v>Hedge Savings ($M)</c:v>
                </c:pt>
              </c:strCache>
            </c:strRef>
          </c:tx>
          <c:spPr>
            <a:solidFill>
              <a:schemeClr val="accent2"/>
            </a:solidFill>
            <a:ln>
              <a:noFill/>
            </a:ln>
            <a:effectLst/>
          </c:spPr>
          <c:invertIfNegative val="0"/>
          <c:cat>
            <c:strRef>
              <c:f>PivotData!$A$52:$A$58</c:f>
              <c:strCache>
                <c:ptCount val="6"/>
                <c:pt idx="0">
                  <c:v>2022-Q2</c:v>
                </c:pt>
                <c:pt idx="1">
                  <c:v>2022-Q3</c:v>
                </c:pt>
                <c:pt idx="2">
                  <c:v>2022-Q4</c:v>
                </c:pt>
                <c:pt idx="3">
                  <c:v>2023-Q1</c:v>
                </c:pt>
                <c:pt idx="4">
                  <c:v>2023-Q2</c:v>
                </c:pt>
                <c:pt idx="5">
                  <c:v>2023-Q3</c:v>
                </c:pt>
              </c:strCache>
            </c:strRef>
          </c:cat>
          <c:val>
            <c:numRef>
              <c:f>PivotData!$C$52:$C$58</c:f>
              <c:numCache>
                <c:formatCode>_("$"* #,##0_);_("$"* \(#,##0\);_("$"* "-"??_);_(@_)</c:formatCode>
                <c:ptCount val="6"/>
                <c:pt idx="0">
                  <c:v>2555.29</c:v>
                </c:pt>
                <c:pt idx="1">
                  <c:v>152.36000000000007</c:v>
                </c:pt>
                <c:pt idx="2">
                  <c:v>789.57000000000028</c:v>
                </c:pt>
                <c:pt idx="3">
                  <c:v>261.53999999999996</c:v>
                </c:pt>
                <c:pt idx="4">
                  <c:v>329.45</c:v>
                </c:pt>
                <c:pt idx="5">
                  <c:v>209.41999999999993</c:v>
                </c:pt>
              </c:numCache>
            </c:numRef>
          </c:val>
          <c:extLst>
            <c:ext xmlns:c16="http://schemas.microsoft.com/office/drawing/2014/chart" uri="{C3380CC4-5D6E-409C-BE32-E72D297353CC}">
              <c16:uniqueId val="{00000001-05D6-44F0-A5CF-B32D43CBACB1}"/>
            </c:ext>
          </c:extLst>
        </c:ser>
        <c:dLbls>
          <c:showLegendKey val="0"/>
          <c:showVal val="0"/>
          <c:showCatName val="0"/>
          <c:showSerName val="0"/>
          <c:showPercent val="0"/>
          <c:showBubbleSize val="0"/>
        </c:dLbls>
        <c:gapWidth val="219"/>
        <c:axId val="675345775"/>
        <c:axId val="675344815"/>
      </c:barChart>
      <c:lineChart>
        <c:grouping val="standard"/>
        <c:varyColors val="0"/>
        <c:ser>
          <c:idx val="0"/>
          <c:order val="0"/>
          <c:tx>
            <c:strRef>
              <c:f>PivotData!$B$51</c:f>
              <c:strCache>
                <c:ptCount val="1"/>
                <c:pt idx="0">
                  <c:v>Jet Fuel Price ($/bbl)</c:v>
                </c:pt>
              </c:strCache>
            </c:strRef>
          </c:tx>
          <c:spPr>
            <a:ln w="28575" cap="rnd">
              <a:solidFill>
                <a:schemeClr val="accent1"/>
              </a:solidFill>
              <a:round/>
            </a:ln>
            <a:effectLst/>
          </c:spPr>
          <c:marker>
            <c:symbol val="none"/>
          </c:marker>
          <c:cat>
            <c:strRef>
              <c:f>PivotData!$A$52:$A$58</c:f>
              <c:strCache>
                <c:ptCount val="6"/>
                <c:pt idx="0">
                  <c:v>2022-Q2</c:v>
                </c:pt>
                <c:pt idx="1">
                  <c:v>2022-Q3</c:v>
                </c:pt>
                <c:pt idx="2">
                  <c:v>2022-Q4</c:v>
                </c:pt>
                <c:pt idx="3">
                  <c:v>2023-Q1</c:v>
                </c:pt>
                <c:pt idx="4">
                  <c:v>2023-Q2</c:v>
                </c:pt>
                <c:pt idx="5">
                  <c:v>2023-Q3</c:v>
                </c:pt>
              </c:strCache>
            </c:strRef>
          </c:cat>
          <c:val>
            <c:numRef>
              <c:f>PivotData!$B$52:$B$58</c:f>
              <c:numCache>
                <c:formatCode>_("$"* #,##0_);_("$"* \(#,##0\);_("$"* "-"??_);_(@_)</c:formatCode>
                <c:ptCount val="6"/>
                <c:pt idx="0">
                  <c:v>131.63000000000008</c:v>
                </c:pt>
                <c:pt idx="1">
                  <c:v>94.489999999999966</c:v>
                </c:pt>
                <c:pt idx="2">
                  <c:v>105.55999999999996</c:v>
                </c:pt>
                <c:pt idx="3">
                  <c:v>97.130000000000052</c:v>
                </c:pt>
                <c:pt idx="4">
                  <c:v>101.96999999999998</c:v>
                </c:pt>
                <c:pt idx="5">
                  <c:v>97.52</c:v>
                </c:pt>
              </c:numCache>
            </c:numRef>
          </c:val>
          <c:smooth val="0"/>
          <c:extLst>
            <c:ext xmlns:c16="http://schemas.microsoft.com/office/drawing/2014/chart" uri="{C3380CC4-5D6E-409C-BE32-E72D297353CC}">
              <c16:uniqueId val="{00000000-05D6-44F0-A5CF-B32D43CBACB1}"/>
            </c:ext>
          </c:extLst>
        </c:ser>
        <c:dLbls>
          <c:showLegendKey val="0"/>
          <c:showVal val="0"/>
          <c:showCatName val="0"/>
          <c:showSerName val="0"/>
          <c:showPercent val="0"/>
          <c:showBubbleSize val="0"/>
        </c:dLbls>
        <c:marker val="1"/>
        <c:smooth val="0"/>
        <c:axId val="669454063"/>
        <c:axId val="669453103"/>
      </c:lineChart>
      <c:catAx>
        <c:axId val="67534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44815"/>
        <c:crosses val="autoZero"/>
        <c:auto val="1"/>
        <c:lblAlgn val="ctr"/>
        <c:lblOffset val="100"/>
        <c:noMultiLvlLbl val="0"/>
      </c:catAx>
      <c:valAx>
        <c:axId val="675344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45775"/>
        <c:crosses val="autoZero"/>
        <c:crossBetween val="between"/>
      </c:valAx>
      <c:valAx>
        <c:axId val="669453103"/>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454063"/>
        <c:crosses val="max"/>
        <c:crossBetween val="between"/>
      </c:valAx>
      <c:catAx>
        <c:axId val="669454063"/>
        <c:scaling>
          <c:orientation val="minMax"/>
        </c:scaling>
        <c:delete val="1"/>
        <c:axPos val="b"/>
        <c:numFmt formatCode="General" sourceLinked="1"/>
        <c:majorTickMark val="out"/>
        <c:minorTickMark val="none"/>
        <c:tickLblPos val="nextTo"/>
        <c:crossAx val="6694531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[Aviation_Financial_Dashboard.xlsx]PivotData!PivotTable4</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PivotData!$B$83</c:f>
              <c:strCache>
                <c:ptCount val="1"/>
                <c:pt idx="0">
                  <c:v>Avg Margin %</c:v>
                </c:pt>
              </c:strCache>
            </c:strRef>
          </c:tx>
          <c:spPr>
            <a:solidFill>
              <a:schemeClr val="accent1"/>
            </a:solidFill>
            <a:ln>
              <a:noFill/>
            </a:ln>
            <a:effectLst/>
          </c:spPr>
          <c:invertIfNegative val="0"/>
          <c:cat>
            <c:strRef>
              <c:f>PivotData!$A$84:$A$86</c:f>
              <c:strCache>
                <c:ptCount val="2"/>
                <c:pt idx="0">
                  <c:v>Flag Carrier</c:v>
                </c:pt>
                <c:pt idx="1">
                  <c:v>Low Cost</c:v>
                </c:pt>
              </c:strCache>
            </c:strRef>
          </c:cat>
          <c:val>
            <c:numRef>
              <c:f>PivotData!$B$84:$B$86</c:f>
              <c:numCache>
                <c:formatCode>0%</c:formatCode>
                <c:ptCount val="2"/>
                <c:pt idx="0">
                  <c:v>7.4340476190476179E-2</c:v>
                </c:pt>
                <c:pt idx="1">
                  <c:v>7.1237499999999995E-2</c:v>
                </c:pt>
              </c:numCache>
            </c:numRef>
          </c:val>
          <c:extLst>
            <c:ext xmlns:c16="http://schemas.microsoft.com/office/drawing/2014/chart" uri="{C3380CC4-5D6E-409C-BE32-E72D297353CC}">
              <c16:uniqueId val="{00000000-0C2E-4662-8597-26AAC9AF80F1}"/>
            </c:ext>
          </c:extLst>
        </c:ser>
        <c:ser>
          <c:idx val="1"/>
          <c:order val="1"/>
          <c:tx>
            <c:strRef>
              <c:f>PivotData!$C$83</c:f>
              <c:strCache>
                <c:ptCount val="1"/>
                <c:pt idx="0">
                  <c:v>Avg Fuel Cost %</c:v>
                </c:pt>
              </c:strCache>
            </c:strRef>
          </c:tx>
          <c:spPr>
            <a:solidFill>
              <a:schemeClr val="accent2"/>
            </a:solidFill>
            <a:ln>
              <a:noFill/>
            </a:ln>
            <a:effectLst/>
          </c:spPr>
          <c:invertIfNegative val="0"/>
          <c:cat>
            <c:strRef>
              <c:f>PivotData!$A$84:$A$86</c:f>
              <c:strCache>
                <c:ptCount val="2"/>
                <c:pt idx="0">
                  <c:v>Flag Carrier</c:v>
                </c:pt>
                <c:pt idx="1">
                  <c:v>Low Cost</c:v>
                </c:pt>
              </c:strCache>
            </c:strRef>
          </c:cat>
          <c:val>
            <c:numRef>
              <c:f>PivotData!$C$84:$C$86</c:f>
              <c:numCache>
                <c:formatCode>0%</c:formatCode>
                <c:ptCount val="2"/>
                <c:pt idx="0">
                  <c:v>0.16043968253968247</c:v>
                </c:pt>
                <c:pt idx="1">
                  <c:v>0.23775833333333332</c:v>
                </c:pt>
              </c:numCache>
            </c:numRef>
          </c:val>
          <c:extLst>
            <c:ext xmlns:c16="http://schemas.microsoft.com/office/drawing/2014/chart" uri="{C3380CC4-5D6E-409C-BE32-E72D297353CC}">
              <c16:uniqueId val="{00000001-0C2E-4662-8597-26AAC9AF80F1}"/>
            </c:ext>
          </c:extLst>
        </c:ser>
        <c:dLbls>
          <c:showLegendKey val="0"/>
          <c:showVal val="0"/>
          <c:showCatName val="0"/>
          <c:showSerName val="0"/>
          <c:showPercent val="0"/>
          <c:showBubbleSize val="0"/>
        </c:dLbls>
        <c:gapWidth val="219"/>
        <c:overlap val="-27"/>
        <c:axId val="878992591"/>
        <c:axId val="878996431"/>
      </c:barChart>
      <c:lineChart>
        <c:grouping val="standard"/>
        <c:varyColors val="0"/>
        <c:ser>
          <c:idx val="2"/>
          <c:order val="2"/>
          <c:tx>
            <c:strRef>
              <c:f>PivotData!$D$83</c:f>
              <c:strCache>
                <c:ptCount val="1"/>
                <c:pt idx="0">
                  <c:v>Total Passengers (M)</c:v>
                </c:pt>
              </c:strCache>
            </c:strRef>
          </c:tx>
          <c:spPr>
            <a:ln w="28575" cap="rnd">
              <a:solidFill>
                <a:schemeClr val="accent3"/>
              </a:solidFill>
              <a:round/>
            </a:ln>
            <a:effectLst/>
          </c:spPr>
          <c:marker>
            <c:symbol val="none"/>
          </c:marker>
          <c:cat>
            <c:strRef>
              <c:f>PivotData!$A$84:$A$86</c:f>
              <c:strCache>
                <c:ptCount val="2"/>
                <c:pt idx="0">
                  <c:v>Flag Carrier</c:v>
                </c:pt>
                <c:pt idx="1">
                  <c:v>Low Cost</c:v>
                </c:pt>
              </c:strCache>
            </c:strRef>
          </c:cat>
          <c:val>
            <c:numRef>
              <c:f>PivotData!$D$84:$D$86</c:f>
              <c:numCache>
                <c:formatCode>_(* #,##0_);_(* \(#,##0\);_(* "-"??_);_(@_)</c:formatCode>
                <c:ptCount val="2"/>
                <c:pt idx="0">
                  <c:v>401.37999999999977</c:v>
                </c:pt>
                <c:pt idx="1">
                  <c:v>44.680000000000014</c:v>
                </c:pt>
              </c:numCache>
            </c:numRef>
          </c:val>
          <c:smooth val="0"/>
          <c:extLst>
            <c:ext xmlns:c16="http://schemas.microsoft.com/office/drawing/2014/chart" uri="{C3380CC4-5D6E-409C-BE32-E72D297353CC}">
              <c16:uniqueId val="{00000002-0C2E-4662-8597-26AAC9AF80F1}"/>
            </c:ext>
          </c:extLst>
        </c:ser>
        <c:dLbls>
          <c:showLegendKey val="0"/>
          <c:showVal val="0"/>
          <c:showCatName val="0"/>
          <c:showSerName val="0"/>
          <c:showPercent val="0"/>
          <c:showBubbleSize val="0"/>
        </c:dLbls>
        <c:marker val="1"/>
        <c:smooth val="0"/>
        <c:axId val="878940271"/>
        <c:axId val="878954191"/>
      </c:lineChart>
      <c:catAx>
        <c:axId val="87894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54191"/>
        <c:crosses val="autoZero"/>
        <c:auto val="1"/>
        <c:lblAlgn val="ctr"/>
        <c:lblOffset val="100"/>
        <c:noMultiLvlLbl val="0"/>
      </c:catAx>
      <c:valAx>
        <c:axId val="8789541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40271"/>
        <c:crosses val="autoZero"/>
        <c:crossBetween val="between"/>
      </c:valAx>
      <c:valAx>
        <c:axId val="878996431"/>
        <c:scaling>
          <c:orientation val="minMax"/>
          <c:min val="-1.0000000000000002E-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2591"/>
        <c:crosses val="max"/>
        <c:crossBetween val="between"/>
      </c:valAx>
      <c:catAx>
        <c:axId val="878992591"/>
        <c:scaling>
          <c:orientation val="minMax"/>
        </c:scaling>
        <c:delete val="1"/>
        <c:axPos val="b"/>
        <c:numFmt formatCode="General" sourceLinked="1"/>
        <c:majorTickMark val="out"/>
        <c:minorTickMark val="none"/>
        <c:tickLblPos val="nextTo"/>
        <c:crossAx val="878996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[Aviation_Financial_Dashboard.xlsx]PivotData!PivotTable1</c:name>
    <c:fmtId val="8"/>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Global Aviation Financial Resilience (2019 - 2024)</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PivotData!$B$3</c:f>
              <c:strCache>
                <c:ptCount val="1"/>
                <c:pt idx="0">
                  <c:v>Total Revenue ($M)</c:v>
                </c:pt>
              </c:strCache>
            </c:strRef>
          </c:tx>
          <c:spPr>
            <a:solidFill>
              <a:schemeClr val="accent1"/>
            </a:solidFill>
            <a:ln>
              <a:noFill/>
            </a:ln>
            <a:effectLst/>
          </c:spPr>
          <c:invertIfNegative val="0"/>
          <c:cat>
            <c:strRef>
              <c:f>PivotData!$A$4:$A$6</c:f>
              <c:strCache>
                <c:ptCount val="2"/>
                <c:pt idx="0">
                  <c:v>Ukraine War Shock</c:v>
                </c:pt>
                <c:pt idx="1">
                  <c:v>Stabilisation</c:v>
                </c:pt>
              </c:strCache>
            </c:strRef>
          </c:cat>
          <c:val>
            <c:numRef>
              <c:f>PivotData!$B$4:$B$6</c:f>
              <c:numCache>
                <c:formatCode>_("$"* #,##0_);_("$"* \(#,##0\);_("$"* "-"??_);_(@_)</c:formatCode>
                <c:ptCount val="2"/>
                <c:pt idx="0">
                  <c:v>312007.51999999984</c:v>
                </c:pt>
                <c:pt idx="1">
                  <c:v>312957.92999999982</c:v>
                </c:pt>
              </c:numCache>
            </c:numRef>
          </c:val>
          <c:extLst>
            <c:ext xmlns:c16="http://schemas.microsoft.com/office/drawing/2014/chart" uri="{C3380CC4-5D6E-409C-BE32-E72D297353CC}">
              <c16:uniqueId val="{00000000-F8F1-4F49-BD94-E4C1763D81A3}"/>
            </c:ext>
          </c:extLst>
        </c:ser>
        <c:ser>
          <c:idx val="1"/>
          <c:order val="1"/>
          <c:tx>
            <c:strRef>
              <c:f>PivotData!$C$3</c:f>
              <c:strCache>
                <c:ptCount val="1"/>
                <c:pt idx="0">
                  <c:v>Net Profit ($M)</c:v>
                </c:pt>
              </c:strCache>
            </c:strRef>
          </c:tx>
          <c:spPr>
            <a:solidFill>
              <a:schemeClr val="accent2"/>
            </a:solidFill>
            <a:ln>
              <a:noFill/>
            </a:ln>
            <a:effectLst/>
          </c:spPr>
          <c:invertIfNegative val="0"/>
          <c:cat>
            <c:strRef>
              <c:f>PivotData!$A$4:$A$6</c:f>
              <c:strCache>
                <c:ptCount val="2"/>
                <c:pt idx="0">
                  <c:v>Ukraine War Shock</c:v>
                </c:pt>
                <c:pt idx="1">
                  <c:v>Stabilisation</c:v>
                </c:pt>
              </c:strCache>
            </c:strRef>
          </c:cat>
          <c:val>
            <c:numRef>
              <c:f>PivotData!$C$4:$C$6</c:f>
              <c:numCache>
                <c:formatCode>_("$"* #,##0_);_("$"* \(#,##0\);_("$"* "-"??_);_(@_)</c:formatCode>
                <c:ptCount val="2"/>
                <c:pt idx="0">
                  <c:v>18815.009999999991</c:v>
                </c:pt>
                <c:pt idx="1">
                  <c:v>26890.530000000013</c:v>
                </c:pt>
              </c:numCache>
            </c:numRef>
          </c:val>
          <c:extLst>
            <c:ext xmlns:c16="http://schemas.microsoft.com/office/drawing/2014/chart" uri="{C3380CC4-5D6E-409C-BE32-E72D297353CC}">
              <c16:uniqueId val="{00000001-F8F1-4F49-BD94-E4C1763D81A3}"/>
            </c:ext>
          </c:extLst>
        </c:ser>
        <c:dLbls>
          <c:showLegendKey val="0"/>
          <c:showVal val="0"/>
          <c:showCatName val="0"/>
          <c:showSerName val="0"/>
          <c:showPercent val="0"/>
          <c:showBubbleSize val="0"/>
        </c:dLbls>
        <c:gapWidth val="219"/>
        <c:overlap val="-27"/>
        <c:axId val="576378575"/>
        <c:axId val="576375695"/>
      </c:barChart>
      <c:lineChart>
        <c:grouping val="standard"/>
        <c:varyColors val="0"/>
        <c:ser>
          <c:idx val="2"/>
          <c:order val="2"/>
          <c:tx>
            <c:strRef>
              <c:f>PivotData!$D$3</c:f>
              <c:strCache>
                <c:ptCount val="1"/>
                <c:pt idx="0">
                  <c:v>Profit Margin (%)</c:v>
                </c:pt>
              </c:strCache>
            </c:strRef>
          </c:tx>
          <c:spPr>
            <a:ln w="28575" cap="rnd">
              <a:solidFill>
                <a:schemeClr val="accent3"/>
              </a:solidFill>
              <a:round/>
            </a:ln>
            <a:effectLst/>
          </c:spPr>
          <c:marker>
            <c:symbol val="none"/>
          </c:marker>
          <c:cat>
            <c:strRef>
              <c:f>PivotData!$A$4:$A$6</c:f>
              <c:strCache>
                <c:ptCount val="2"/>
                <c:pt idx="0">
                  <c:v>Ukraine War Shock</c:v>
                </c:pt>
                <c:pt idx="1">
                  <c:v>Stabilisation</c:v>
                </c:pt>
              </c:strCache>
            </c:strRef>
          </c:cat>
          <c:val>
            <c:numRef>
              <c:f>PivotData!$D$4:$D$6</c:f>
              <c:numCache>
                <c:formatCode>0%</c:formatCode>
                <c:ptCount val="2"/>
                <c:pt idx="0">
                  <c:v>6.1519999999999998E-2</c:v>
                </c:pt>
                <c:pt idx="1">
                  <c:v>8.6168000000000008E-2</c:v>
                </c:pt>
              </c:numCache>
            </c:numRef>
          </c:val>
          <c:smooth val="0"/>
          <c:extLst>
            <c:ext xmlns:c16="http://schemas.microsoft.com/office/drawing/2014/chart" uri="{C3380CC4-5D6E-409C-BE32-E72D297353CC}">
              <c16:uniqueId val="{00000002-F8F1-4F49-BD94-E4C1763D81A3}"/>
            </c:ext>
          </c:extLst>
        </c:ser>
        <c:dLbls>
          <c:showLegendKey val="0"/>
          <c:showVal val="0"/>
          <c:showCatName val="0"/>
          <c:showSerName val="0"/>
          <c:showPercent val="0"/>
          <c:showBubbleSize val="0"/>
        </c:dLbls>
        <c:marker val="1"/>
        <c:smooth val="0"/>
        <c:axId val="573645551"/>
        <c:axId val="573646511"/>
      </c:lineChart>
      <c:catAx>
        <c:axId val="57637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Conflict</a:t>
                </a:r>
                <a:r>
                  <a:rPr lang="en-US" baseline="0"/>
                  <a:t> P</a:t>
                </a:r>
                <a:r>
                  <a:rPr lang="en-US"/>
                  <a:t>hase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75695"/>
        <c:crosses val="autoZero"/>
        <c:auto val="1"/>
        <c:lblAlgn val="ctr"/>
        <c:lblOffset val="100"/>
        <c:noMultiLvlLbl val="0"/>
      </c:catAx>
      <c:valAx>
        <c:axId val="576375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USD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78575"/>
        <c:crosses val="autoZero"/>
        <c:crossBetween val="between"/>
      </c:valAx>
      <c:valAx>
        <c:axId val="5736465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Margin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45551"/>
        <c:crosses val="max"/>
        <c:crossBetween val="between"/>
      </c:valAx>
      <c:catAx>
        <c:axId val="573645551"/>
        <c:scaling>
          <c:orientation val="minMax"/>
        </c:scaling>
        <c:delete val="1"/>
        <c:axPos val="b"/>
        <c:numFmt formatCode="General" sourceLinked="1"/>
        <c:majorTickMark val="out"/>
        <c:minorTickMark val="none"/>
        <c:tickLblPos val="nextTo"/>
        <c:crossAx val="573646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Fuel Market Volatility vs. Hedging Effectiveness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PivotData!$C$51</c:f>
              <c:strCache>
                <c:ptCount val="1"/>
                <c:pt idx="0">
                  <c:v>Hedge Savings ($M)</c:v>
                </c:pt>
              </c:strCache>
            </c:strRef>
          </c:tx>
          <c:spPr>
            <a:solidFill>
              <a:schemeClr val="accent2"/>
            </a:solidFill>
            <a:ln>
              <a:noFill/>
            </a:ln>
            <a:effectLst/>
          </c:spPr>
          <c:invertIfNegative val="0"/>
          <c:cat>
            <c:strRef>
              <c:f>PivotData!$A$52:$A$58</c:f>
              <c:strCache>
                <c:ptCount val="6"/>
                <c:pt idx="0">
                  <c:v>2022-Q2</c:v>
                </c:pt>
                <c:pt idx="1">
                  <c:v>2022-Q3</c:v>
                </c:pt>
                <c:pt idx="2">
                  <c:v>2022-Q4</c:v>
                </c:pt>
                <c:pt idx="3">
                  <c:v>2023-Q1</c:v>
                </c:pt>
                <c:pt idx="4">
                  <c:v>2023-Q2</c:v>
                </c:pt>
                <c:pt idx="5">
                  <c:v>2023-Q3</c:v>
                </c:pt>
              </c:strCache>
            </c:strRef>
          </c:cat>
          <c:val>
            <c:numRef>
              <c:f>PivotData!$C$52:$C$58</c:f>
              <c:numCache>
                <c:formatCode>_("$"* #,##0_);_("$"* \(#,##0\);_("$"* "-"??_);_(@_)</c:formatCode>
                <c:ptCount val="6"/>
                <c:pt idx="0">
                  <c:v>2555.29</c:v>
                </c:pt>
                <c:pt idx="1">
                  <c:v>152.36000000000007</c:v>
                </c:pt>
                <c:pt idx="2">
                  <c:v>789.57000000000028</c:v>
                </c:pt>
                <c:pt idx="3">
                  <c:v>261.53999999999996</c:v>
                </c:pt>
                <c:pt idx="4">
                  <c:v>329.45</c:v>
                </c:pt>
                <c:pt idx="5">
                  <c:v>209.41999999999993</c:v>
                </c:pt>
              </c:numCache>
            </c:numRef>
          </c:val>
          <c:extLst>
            <c:ext xmlns:c16="http://schemas.microsoft.com/office/drawing/2014/chart" uri="{C3380CC4-5D6E-409C-BE32-E72D297353CC}">
              <c16:uniqueId val="{00000000-901B-432E-9432-4143E19127A6}"/>
            </c:ext>
          </c:extLst>
        </c:ser>
        <c:dLbls>
          <c:showLegendKey val="0"/>
          <c:showVal val="0"/>
          <c:showCatName val="0"/>
          <c:showSerName val="0"/>
          <c:showPercent val="0"/>
          <c:showBubbleSize val="0"/>
        </c:dLbls>
        <c:gapWidth val="219"/>
        <c:axId val="675345775"/>
        <c:axId val="675344815"/>
      </c:barChart>
      <c:lineChart>
        <c:grouping val="standard"/>
        <c:varyColors val="0"/>
        <c:ser>
          <c:idx val="0"/>
          <c:order val="0"/>
          <c:tx>
            <c:strRef>
              <c:f>PivotData!$B$51</c:f>
              <c:strCache>
                <c:ptCount val="1"/>
                <c:pt idx="0">
                  <c:v>Jet Fuel Price ($/bbl)</c:v>
                </c:pt>
              </c:strCache>
            </c:strRef>
          </c:tx>
          <c:spPr>
            <a:ln w="28575" cap="rnd">
              <a:solidFill>
                <a:schemeClr val="accent1"/>
              </a:solidFill>
              <a:round/>
            </a:ln>
            <a:effectLst/>
          </c:spPr>
          <c:marker>
            <c:symbol val="none"/>
          </c:marker>
          <c:cat>
            <c:strRef>
              <c:f>PivotData!$A$52:$A$58</c:f>
              <c:strCache>
                <c:ptCount val="6"/>
                <c:pt idx="0">
                  <c:v>2022-Q2</c:v>
                </c:pt>
                <c:pt idx="1">
                  <c:v>2022-Q3</c:v>
                </c:pt>
                <c:pt idx="2">
                  <c:v>2022-Q4</c:v>
                </c:pt>
                <c:pt idx="3">
                  <c:v>2023-Q1</c:v>
                </c:pt>
                <c:pt idx="4">
                  <c:v>2023-Q2</c:v>
                </c:pt>
                <c:pt idx="5">
                  <c:v>2023-Q3</c:v>
                </c:pt>
              </c:strCache>
            </c:strRef>
          </c:cat>
          <c:val>
            <c:numRef>
              <c:f>PivotData!$B$52:$B$58</c:f>
              <c:numCache>
                <c:formatCode>_("$"* #,##0_);_("$"* \(#,##0\);_("$"* "-"??_);_(@_)</c:formatCode>
                <c:ptCount val="6"/>
                <c:pt idx="0">
                  <c:v>131.63000000000008</c:v>
                </c:pt>
                <c:pt idx="1">
                  <c:v>94.489999999999966</c:v>
                </c:pt>
                <c:pt idx="2">
                  <c:v>105.55999999999996</c:v>
                </c:pt>
                <c:pt idx="3">
                  <c:v>97.130000000000052</c:v>
                </c:pt>
                <c:pt idx="4">
                  <c:v>101.96999999999998</c:v>
                </c:pt>
                <c:pt idx="5">
                  <c:v>97.52</c:v>
                </c:pt>
              </c:numCache>
            </c:numRef>
          </c:val>
          <c:smooth val="0"/>
          <c:extLst>
            <c:ext xmlns:c16="http://schemas.microsoft.com/office/drawing/2014/chart" uri="{C3380CC4-5D6E-409C-BE32-E72D297353CC}">
              <c16:uniqueId val="{00000001-901B-432E-9432-4143E19127A6}"/>
            </c:ext>
          </c:extLst>
        </c:ser>
        <c:dLbls>
          <c:showLegendKey val="0"/>
          <c:showVal val="0"/>
          <c:showCatName val="0"/>
          <c:showSerName val="0"/>
          <c:showPercent val="0"/>
          <c:showBubbleSize val="0"/>
        </c:dLbls>
        <c:marker val="1"/>
        <c:smooth val="0"/>
        <c:axId val="669454063"/>
        <c:axId val="669453103"/>
      </c:lineChart>
      <c:catAx>
        <c:axId val="67534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Quaterly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44815"/>
        <c:crosses val="autoZero"/>
        <c:auto val="1"/>
        <c:lblAlgn val="ctr"/>
        <c:lblOffset val="100"/>
        <c:noMultiLvlLbl val="0"/>
      </c:catAx>
      <c:valAx>
        <c:axId val="67534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Realized Savings (USD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345775"/>
        <c:crosses val="autoZero"/>
        <c:crossBetween val="between"/>
      </c:valAx>
      <c:valAx>
        <c:axId val="6694531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Fuel Price (USD per Barrel)</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454063"/>
        <c:crosses val="max"/>
        <c:crossBetween val="between"/>
      </c:valAx>
      <c:catAx>
        <c:axId val="669454063"/>
        <c:scaling>
          <c:orientation val="minMax"/>
        </c:scaling>
        <c:delete val="1"/>
        <c:axPos val="b"/>
        <c:numFmt formatCode="General" sourceLinked="1"/>
        <c:majorTickMark val="out"/>
        <c:minorTickMark val="none"/>
        <c:tickLblPos val="nextTo"/>
        <c:crossAx val="6694531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[Aviation_Financial_Dashboard.xlsx]PivotData!PivotTable4</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Business Type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prstDash val="sysDash"/>
            <a:round/>
          </a:ln>
          <a:effectLst/>
        </c:spPr>
        <c:marker>
          <c:symbol val="none"/>
        </c:marker>
      </c:pivotFmt>
    </c:pivotFmts>
    <c:plotArea>
      <c:layout/>
      <c:barChart>
        <c:barDir val="col"/>
        <c:grouping val="clustered"/>
        <c:varyColors val="0"/>
        <c:ser>
          <c:idx val="2"/>
          <c:order val="2"/>
          <c:tx>
            <c:strRef>
              <c:f>PivotData!$D$83</c:f>
              <c:strCache>
                <c:ptCount val="1"/>
                <c:pt idx="0">
                  <c:v>Total Passengers (M)</c:v>
                </c:pt>
              </c:strCache>
            </c:strRef>
          </c:tx>
          <c:spPr>
            <a:solidFill>
              <a:srgbClr val="00B0F0"/>
            </a:solidFill>
            <a:ln>
              <a:noFill/>
            </a:ln>
            <a:effectLst/>
          </c:spPr>
          <c:invertIfNegative val="0"/>
          <c:cat>
            <c:strRef>
              <c:f>PivotData!$A$84:$A$86</c:f>
              <c:strCache>
                <c:ptCount val="2"/>
                <c:pt idx="0">
                  <c:v>Flag Carrier</c:v>
                </c:pt>
                <c:pt idx="1">
                  <c:v>Low Cost</c:v>
                </c:pt>
              </c:strCache>
            </c:strRef>
          </c:cat>
          <c:val>
            <c:numRef>
              <c:f>PivotData!$D$84:$D$86</c:f>
              <c:numCache>
                <c:formatCode>_(* #,##0_);_(* \(#,##0\);_(* "-"??_);_(@_)</c:formatCode>
                <c:ptCount val="2"/>
                <c:pt idx="0">
                  <c:v>401.37999999999977</c:v>
                </c:pt>
                <c:pt idx="1">
                  <c:v>44.680000000000014</c:v>
                </c:pt>
              </c:numCache>
            </c:numRef>
          </c:val>
          <c:extLst>
            <c:ext xmlns:c16="http://schemas.microsoft.com/office/drawing/2014/chart" uri="{C3380CC4-5D6E-409C-BE32-E72D297353CC}">
              <c16:uniqueId val="{00000002-A134-4217-83BB-783EDD90C5A5}"/>
            </c:ext>
          </c:extLst>
        </c:ser>
        <c:dLbls>
          <c:showLegendKey val="0"/>
          <c:showVal val="0"/>
          <c:showCatName val="0"/>
          <c:showSerName val="0"/>
          <c:showPercent val="0"/>
          <c:showBubbleSize val="0"/>
        </c:dLbls>
        <c:gapWidth val="150"/>
        <c:axId val="878940271"/>
        <c:axId val="878954191"/>
      </c:barChart>
      <c:lineChart>
        <c:grouping val="standard"/>
        <c:varyColors val="0"/>
        <c:ser>
          <c:idx val="0"/>
          <c:order val="0"/>
          <c:tx>
            <c:strRef>
              <c:f>PivotData!$B$83</c:f>
              <c:strCache>
                <c:ptCount val="1"/>
                <c:pt idx="0">
                  <c:v>Avg Margin %</c:v>
                </c:pt>
              </c:strCache>
            </c:strRef>
          </c:tx>
          <c:spPr>
            <a:ln w="28575" cap="rnd">
              <a:solidFill>
                <a:srgbClr val="00B050"/>
              </a:solidFill>
              <a:round/>
            </a:ln>
            <a:effectLst/>
          </c:spPr>
          <c:marker>
            <c:symbol val="none"/>
          </c:marker>
          <c:cat>
            <c:strRef>
              <c:f>PivotData!$A$84:$A$86</c:f>
              <c:strCache>
                <c:ptCount val="2"/>
                <c:pt idx="0">
                  <c:v>Flag Carrier</c:v>
                </c:pt>
                <c:pt idx="1">
                  <c:v>Low Cost</c:v>
                </c:pt>
              </c:strCache>
            </c:strRef>
          </c:cat>
          <c:val>
            <c:numRef>
              <c:f>PivotData!$B$84:$B$86</c:f>
              <c:numCache>
                <c:formatCode>0%</c:formatCode>
                <c:ptCount val="2"/>
                <c:pt idx="0">
                  <c:v>7.4340476190476179E-2</c:v>
                </c:pt>
                <c:pt idx="1">
                  <c:v>7.1237499999999995E-2</c:v>
                </c:pt>
              </c:numCache>
            </c:numRef>
          </c:val>
          <c:smooth val="0"/>
          <c:extLst>
            <c:ext xmlns:c16="http://schemas.microsoft.com/office/drawing/2014/chart" uri="{C3380CC4-5D6E-409C-BE32-E72D297353CC}">
              <c16:uniqueId val="{00000000-A134-4217-83BB-783EDD90C5A5}"/>
            </c:ext>
          </c:extLst>
        </c:ser>
        <c:ser>
          <c:idx val="1"/>
          <c:order val="1"/>
          <c:tx>
            <c:strRef>
              <c:f>PivotData!$C$83</c:f>
              <c:strCache>
                <c:ptCount val="1"/>
                <c:pt idx="0">
                  <c:v>Avg Fuel Cost %</c:v>
                </c:pt>
              </c:strCache>
            </c:strRef>
          </c:tx>
          <c:spPr>
            <a:ln w="28575" cap="rnd">
              <a:solidFill>
                <a:srgbClr val="FF0000"/>
              </a:solidFill>
              <a:round/>
            </a:ln>
            <a:effectLst/>
          </c:spPr>
          <c:marker>
            <c:symbol val="none"/>
          </c:marker>
          <c:dPt>
            <c:idx val="1"/>
            <c:marker>
              <c:symbol val="none"/>
            </c:marker>
            <c:bubble3D val="0"/>
            <c:spPr>
              <a:ln w="28575" cap="rnd">
                <a:solidFill>
                  <a:srgbClr val="FF0000"/>
                </a:solidFill>
                <a:prstDash val="sysDash"/>
                <a:round/>
              </a:ln>
              <a:effectLst/>
            </c:spPr>
            <c:extLst>
              <c:ext xmlns:c16="http://schemas.microsoft.com/office/drawing/2014/chart" uri="{C3380CC4-5D6E-409C-BE32-E72D297353CC}">
                <c16:uniqueId val="{00000000-4E51-4FB0-8388-06E322EBFE30}"/>
              </c:ext>
            </c:extLst>
          </c:dPt>
          <c:cat>
            <c:strRef>
              <c:f>PivotData!$A$84:$A$86</c:f>
              <c:strCache>
                <c:ptCount val="2"/>
                <c:pt idx="0">
                  <c:v>Flag Carrier</c:v>
                </c:pt>
                <c:pt idx="1">
                  <c:v>Low Cost</c:v>
                </c:pt>
              </c:strCache>
            </c:strRef>
          </c:cat>
          <c:val>
            <c:numRef>
              <c:f>PivotData!$C$84:$C$86</c:f>
              <c:numCache>
                <c:formatCode>0%</c:formatCode>
                <c:ptCount val="2"/>
                <c:pt idx="0">
                  <c:v>0.16043968253968247</c:v>
                </c:pt>
                <c:pt idx="1">
                  <c:v>0.23775833333333332</c:v>
                </c:pt>
              </c:numCache>
            </c:numRef>
          </c:val>
          <c:smooth val="0"/>
          <c:extLst>
            <c:ext xmlns:c16="http://schemas.microsoft.com/office/drawing/2014/chart" uri="{C3380CC4-5D6E-409C-BE32-E72D297353CC}">
              <c16:uniqueId val="{00000001-A134-4217-83BB-783EDD90C5A5}"/>
            </c:ext>
          </c:extLst>
        </c:ser>
        <c:dLbls>
          <c:showLegendKey val="0"/>
          <c:showVal val="0"/>
          <c:showCatName val="0"/>
          <c:showSerName val="0"/>
          <c:showPercent val="0"/>
          <c:showBubbleSize val="0"/>
        </c:dLbls>
        <c:marker val="1"/>
        <c:smooth val="0"/>
        <c:axId val="878992591"/>
        <c:axId val="878996431"/>
      </c:lineChart>
      <c:catAx>
        <c:axId val="87894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Airline</a:t>
                </a:r>
                <a:r>
                  <a:rPr lang="en-US" baseline="0"/>
                  <a:t> T</a:t>
                </a:r>
                <a:r>
                  <a:rPr lang="en-US"/>
                  <a: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54191"/>
        <c:crosses val="autoZero"/>
        <c:auto val="1"/>
        <c:lblAlgn val="ctr"/>
        <c:lblOffset val="100"/>
        <c:noMultiLvlLbl val="0"/>
      </c:catAx>
      <c:valAx>
        <c:axId val="878954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Passengers in Millions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40271"/>
        <c:crosses val="autoZero"/>
        <c:crossBetween val="between"/>
      </c:valAx>
      <c:valAx>
        <c:axId val="878996431"/>
        <c:scaling>
          <c:orientation val="minMax"/>
          <c:max val="0.32000000000000006"/>
          <c:min val="-1.0000000000000002E-2"/>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Percentage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2591"/>
        <c:crosses val="max"/>
        <c:crossBetween val="between"/>
      </c:valAx>
      <c:catAx>
        <c:axId val="878992591"/>
        <c:scaling>
          <c:orientation val="minMax"/>
        </c:scaling>
        <c:delete val="1"/>
        <c:axPos val="b"/>
        <c:numFmt formatCode="General" sourceLinked="1"/>
        <c:majorTickMark val="out"/>
        <c:minorTickMark val="none"/>
        <c:tickLblPos val="nextTo"/>
        <c:crossAx val="878996431"/>
        <c:crosses val="autoZero"/>
        <c:auto val="1"/>
        <c:lblAlgn val="ctr"/>
        <c:lblOffset val="100"/>
        <c:noMultiLvlLbl val="0"/>
      </c:catAx>
      <c:spPr>
        <a:noFill/>
        <a:ln>
          <a:noFill/>
        </a:ln>
        <a:effectLst/>
      </c:spPr>
    </c:plotArea>
    <c:legend>
      <c:legendPos val="r"/>
      <c:layout>
        <c:manualLayout>
          <c:xMode val="edge"/>
          <c:yMode val="edge"/>
          <c:x val="0.68819505492252842"/>
          <c:y val="0.15060976386782715"/>
          <c:w val="0.28988167909776263"/>
          <c:h val="0.1757434616577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361950</xdr:colOff>
      <xdr:row>1</xdr:row>
      <xdr:rowOff>166687</xdr:rowOff>
    </xdr:from>
    <xdr:to>
      <xdr:col>12</xdr:col>
      <xdr:colOff>571500</xdr:colOff>
      <xdr:row>16</xdr:row>
      <xdr:rowOff>52387</xdr:rowOff>
    </xdr:to>
    <xdr:graphicFrame macro="">
      <xdr:nvGraphicFramePr>
        <xdr:cNvPr id="2" name="Chart 1">
          <a:extLst>
            <a:ext uri="{FF2B5EF4-FFF2-40B4-BE49-F238E27FC236}">
              <a16:creationId xmlns:a16="http://schemas.microsoft.com/office/drawing/2014/main" id="{2F4BFEDF-46AE-9AE9-EEE0-9C9112C90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369794</xdr:colOff>
      <xdr:row>26</xdr:row>
      <xdr:rowOff>168089</xdr:rowOff>
    </xdr:from>
    <xdr:to>
      <xdr:col>9</xdr:col>
      <xdr:colOff>459441</xdr:colOff>
      <xdr:row>44</xdr:row>
      <xdr:rowOff>176213</xdr:rowOff>
    </xdr:to>
    <xdr:graphicFrame macro="">
      <xdr:nvGraphicFramePr>
        <xdr:cNvPr id="8" name="Chart 7">
          <a:extLst>
            <a:ext uri="{FF2B5EF4-FFF2-40B4-BE49-F238E27FC236}">
              <a16:creationId xmlns:a16="http://schemas.microsoft.com/office/drawing/2014/main" id="{192F5DC4-1A95-6523-AFD4-F75ED50EA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124239</xdr:colOff>
      <xdr:row>82</xdr:row>
      <xdr:rowOff>102704</xdr:rowOff>
    </xdr:from>
    <xdr:to>
      <xdr:col>8</xdr:col>
      <xdr:colOff>190499</xdr:colOff>
      <xdr:row>95</xdr:row>
      <xdr:rowOff>162339</xdr:rowOff>
    </xdr:to>
    <xdr:graphicFrame macro="">
      <xdr:nvGraphicFramePr>
        <xdr:cNvPr id="12" name="Chart 11">
          <a:extLst>
            <a:ext uri="{FF2B5EF4-FFF2-40B4-BE49-F238E27FC236}">
              <a16:creationId xmlns:a16="http://schemas.microsoft.com/office/drawing/2014/main" id="{D9E21498-2C30-ADDC-A2A6-5CDDF1303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5</xdr:row>
      <xdr:rowOff>1</xdr:rowOff>
    </xdr:from>
    <xdr:to>
      <xdr:col>21</xdr:col>
      <xdr:colOff>0</xdr:colOff>
      <xdr:row>23</xdr:row>
      <xdr:rowOff>63501</xdr:rowOff>
    </xdr:to>
    <xdr:graphicFrame macro="">
      <xdr:nvGraphicFramePr>
        <xdr:cNvPr id="10" name="Chart 9">
          <a:extLst>
            <a:ext uri="{FF2B5EF4-FFF2-40B4-BE49-F238E27FC236}">
              <a16:creationId xmlns:a16="http://schemas.microsoft.com/office/drawing/2014/main" id="{9F99D210-8786-4E62-8118-DB5C981B6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23</xdr:row>
      <xdr:rowOff>62057</xdr:rowOff>
    </xdr:from>
    <xdr:to>
      <xdr:col>13</xdr:col>
      <xdr:colOff>214312</xdr:colOff>
      <xdr:row>48</xdr:row>
      <xdr:rowOff>7937</xdr:rowOff>
    </xdr:to>
    <xdr:graphicFrame macro="">
      <xdr:nvGraphicFramePr>
        <xdr:cNvPr id="11" name="Chart 10">
          <a:extLst>
            <a:ext uri="{FF2B5EF4-FFF2-40B4-BE49-F238E27FC236}">
              <a16:creationId xmlns:a16="http://schemas.microsoft.com/office/drawing/2014/main" id="{CF14B1D0-35C1-4F13-AFCE-B5581B98D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190501</xdr:colOff>
      <xdr:row>23</xdr:row>
      <xdr:rowOff>62057</xdr:rowOff>
    </xdr:from>
    <xdr:to>
      <xdr:col>21</xdr:col>
      <xdr:colOff>1</xdr:colOff>
      <xdr:row>48</xdr:row>
      <xdr:rowOff>7937</xdr:rowOff>
    </xdr:to>
    <xdr:graphicFrame macro="">
      <xdr:nvGraphicFramePr>
        <xdr:cNvPr id="12" name="Chart 11">
          <a:extLst>
            <a:ext uri="{FF2B5EF4-FFF2-40B4-BE49-F238E27FC236}">
              <a16:creationId xmlns:a16="http://schemas.microsoft.com/office/drawing/2014/main" id="{83D2C4FC-F8EF-4559-BE1C-8DF796D02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266140</xdr:colOff>
      <xdr:row>5</xdr:row>
      <xdr:rowOff>36980</xdr:rowOff>
    </xdr:from>
    <xdr:to>
      <xdr:col>3</xdr:col>
      <xdr:colOff>279587</xdr:colOff>
      <xdr:row>20</xdr:row>
      <xdr:rowOff>22412</xdr:rowOff>
    </xdr:to>
    <mc:AlternateContent xmlns:mc="http://schemas.openxmlformats.org/markup-compatibility/2006">
      <mc:Choice xmlns:a14="http://schemas.microsoft.com/office/drawing/2010/main" Requires="a14">
        <xdr:graphicFrame macro="">
          <xdr:nvGraphicFramePr>
            <xdr:cNvPr id="2" name="Conflict Phase">
              <a:extLst>
                <a:ext uri="{FF2B5EF4-FFF2-40B4-BE49-F238E27FC236}">
                  <a16:creationId xmlns:a16="http://schemas.microsoft.com/office/drawing/2014/main" id="{307ABE99-4CD5-115C-52A5-E90AD6DDE884}"/>
                </a:ext>
              </a:extLst>
            </xdr:cNvPr>
            <xdr:cNvGraphicFramePr/>
          </xdr:nvGraphicFramePr>
          <xdr:xfrm>
            <a:off x="0" y="0"/>
            <a:ext cx="0" cy="0"/>
          </xdr:xfrm>
          <a:graphic>
            <a:graphicData uri="http://schemas.microsoft.com/office/drawing/2010/slicer">
              <sle:slicer xmlns:sle="http://schemas.microsoft.com/office/drawing/2010/slicer" name="Conflict Phase"/>
            </a:graphicData>
          </a:graphic>
        </xdr:graphicFrame>
      </mc:Choice>
      <mc:Fallback>
        <xdr:sp macro="" textlink="">
          <xdr:nvSpPr>
            <xdr:cNvPr id="0" name=""/>
            <xdr:cNvSpPr>
              <a:spLocks noTextEdit="1"/>
            </xdr:cNvSpPr>
          </xdr:nvSpPr>
          <xdr:spPr>
            <a:xfrm>
              <a:off x="266140" y="904435"/>
              <a:ext cx="1850411" cy="2791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266140</xdr:colOff>
      <xdr:row>20</xdr:row>
      <xdr:rowOff>76200</xdr:rowOff>
    </xdr:from>
    <xdr:to>
      <xdr:col>3</xdr:col>
      <xdr:colOff>279587</xdr:colOff>
      <xdr:row>30</xdr:row>
      <xdr:rowOff>44824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F13B1D4-030F-D76B-6FB3-C54EC30EB8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6140" y="3750129"/>
              <a:ext cx="1850411" cy="1839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266140</xdr:colOff>
      <xdr:row>30</xdr:row>
      <xdr:rowOff>145676</xdr:rowOff>
    </xdr:from>
    <xdr:to>
      <xdr:col>3</xdr:col>
      <xdr:colOff>279587</xdr:colOff>
      <xdr:row>35</xdr:row>
      <xdr:rowOff>168088</xdr:rowOff>
    </xdr:to>
    <mc:AlternateContent xmlns:mc="http://schemas.openxmlformats.org/markup-compatibility/2006">
      <mc:Choice xmlns:a14="http://schemas.microsoft.com/office/drawing/2010/main" Requires="a14">
        <xdr:graphicFrame macro="">
          <xdr:nvGraphicFramePr>
            <xdr:cNvPr id="4" name="airline_type">
              <a:extLst>
                <a:ext uri="{FF2B5EF4-FFF2-40B4-BE49-F238E27FC236}">
                  <a16:creationId xmlns:a16="http://schemas.microsoft.com/office/drawing/2014/main" id="{D8F6BB1E-022F-7BA3-B7A4-74846A7D3B07}"/>
                </a:ext>
              </a:extLst>
            </xdr:cNvPr>
            <xdr:cNvGraphicFramePr/>
          </xdr:nvGraphicFramePr>
          <xdr:xfrm>
            <a:off x="0" y="0"/>
            <a:ext cx="0" cy="0"/>
          </xdr:xfrm>
          <a:graphic>
            <a:graphicData uri="http://schemas.microsoft.com/office/drawing/2010/slicer">
              <sle:slicer xmlns:sle="http://schemas.microsoft.com/office/drawing/2010/slicer" name="airline_type"/>
            </a:graphicData>
          </a:graphic>
        </xdr:graphicFrame>
      </mc:Choice>
      <mc:Fallback>
        <xdr:sp macro="" textlink="">
          <xdr:nvSpPr>
            <xdr:cNvPr id="0" name=""/>
            <xdr:cNvSpPr>
              <a:spLocks noTextEdit="1"/>
            </xdr:cNvSpPr>
          </xdr:nvSpPr>
          <xdr:spPr>
            <a:xfrm>
              <a:off x="266140" y="5690587"/>
              <a:ext cx="1850411" cy="957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381000</xdr:colOff>
      <xdr:row>36</xdr:row>
      <xdr:rowOff>50800</xdr:rowOff>
    </xdr:from>
    <xdr:to>
      <xdr:col>20</xdr:col>
      <xdr:colOff>482600</xdr:colOff>
      <xdr:row>45</xdr:row>
      <xdr:rowOff>139700</xdr:rowOff>
    </xdr:to>
    <xdr:sp macro="" textlink="">
      <xdr:nvSpPr>
        <xdr:cNvPr id="5" name="TextBox 4">
          <a:extLst>
            <a:ext uri="{FF2B5EF4-FFF2-40B4-BE49-F238E27FC236}">
              <a16:creationId xmlns:a16="http://schemas.microsoft.com/office/drawing/2014/main" id="{F84F6FB6-B7D8-2F57-DC5A-0B097689BFF9}"/>
            </a:ext>
          </a:extLst>
        </xdr:cNvPr>
        <xdr:cNvSpPr txBox="1"/>
      </xdr:nvSpPr>
      <xdr:spPr>
        <a:xfrm>
          <a:off x="11353800" y="6718300"/>
          <a:ext cx="1320800" cy="180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Analysis shows that Low-Cost Carriers maintained a higher Passenger-to-Fleet ratio, but were more sensitive to Fuel Cost fluctuations compared to Flag Carriers during conflict spikes.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5.419655324076" createdVersion="8" refreshedVersion="8" minRefreshableVersion="3" recordCount="725" xr:uid="{A4F36B48-E617-44DC-BDE1-2539C60E2716}">
  <cacheSource type="worksheet">
    <worksheetSource ref="A1:V726" sheet="staging"/>
  </cacheSource>
  <cacheFields count="22">
    <cacheField name="quarter" numFmtId="0">
      <sharedItems count="29">
        <s v="2019-Q1"/>
        <s v="2019-Q2"/>
        <s v="2019-Q3"/>
        <s v="2019-Q4"/>
        <s v="2020-Q1"/>
        <s v="2020-Q2"/>
        <s v="2020-Q3"/>
        <s v="2020-Q4"/>
        <s v="2021-Q1"/>
        <s v="2021-Q2"/>
        <s v="2021-Q3"/>
        <s v="2021-Q4"/>
        <s v="2022-Q1"/>
        <s v="2022-Q2"/>
        <s v="2022-Q3"/>
        <s v="2022-Q4"/>
        <s v="2023-Q1"/>
        <s v="2023-Q2"/>
        <s v="2023-Q3"/>
        <s v="2023-Q4"/>
        <s v="2024-Q1"/>
        <s v="2024-Q2"/>
        <s v="2024-Q3"/>
        <s v="2024-Q4"/>
        <s v="2025-Q1"/>
        <s v="2025-Q2"/>
        <s v="2025-Q3"/>
        <s v="2025-Q4"/>
        <s v="2026-Q1"/>
      </sharedItems>
    </cacheField>
    <cacheField name="month" numFmtId="0">
      <sharedItems/>
    </cacheField>
    <cacheField name="Year" numFmtId="0">
      <sharedItems/>
    </cacheField>
    <cacheField name="Month2" numFmtId="0">
      <sharedItems/>
    </cacheField>
    <cacheField name="conflict_phase" numFmtId="0">
      <sharedItems count="8">
        <s v="Pre-Pandemic Baseline"/>
        <s v="COVID-19 Collapse"/>
        <s v="Recovery &amp; Surge"/>
        <s v="Ukraine War Shock"/>
        <s v="Stabilisation"/>
        <s v="Gaza-Israel Conflict"/>
        <s v="Pre-Iran Escalation"/>
        <s v="US-Iran War Conflict"/>
      </sharedItems>
    </cacheField>
    <cacheField name="airline" numFmtId="0">
      <sharedItems/>
    </cacheField>
    <cacheField name="country" numFmtId="0">
      <sharedItems/>
    </cacheField>
    <cacheField name="region" numFmtId="0">
      <sharedItems count="5">
        <s v="Middle East"/>
        <s v="Asia"/>
        <s v="Europe"/>
        <s v="N. America"/>
        <s v="Africa"/>
      </sharedItems>
    </cacheField>
    <cacheField name="airline_type" numFmtId="0">
      <sharedItems count="2">
        <s v="Flag Carrier"/>
        <s v="Low Cost"/>
      </sharedItems>
    </cacheField>
    <cacheField name="fleet_size" numFmtId="0">
      <sharedItems containsSemiMixedTypes="0" containsString="0" containsNumber="1" containsInteger="1" minValue="28" maxValue="997"/>
    </cacheField>
    <cacheField name="revenue_usd_m" numFmtId="0">
      <sharedItems containsSemiMixedTypes="0" containsString="0" containsNumber="1" minValue="42.19" maxValue="15629.54"/>
    </cacheField>
    <cacheField name="fuel_cost_usd_m" numFmtId="0">
      <sharedItems containsSemiMixedTypes="0" containsString="0" containsNumber="1" minValue="11.21" maxValue="1669.85"/>
    </cacheField>
    <cacheField name="fuel_cost_pct_revenue" numFmtId="0">
      <sharedItems containsSemiMixedTypes="0" containsString="0" containsNumber="1" minValue="5.45E-2" maxValue="1.4343999999999999"/>
    </cacheField>
    <cacheField name="net_profit_usd_m" numFmtId="0">
      <sharedItems containsSemiMixedTypes="0" containsString="0" containsNumber="1" minValue="-2534.69" maxValue="2052.5700000000002"/>
    </cacheField>
    <cacheField name="profit_margin_pct" numFmtId="0">
      <sharedItems containsSemiMixedTypes="0" containsString="0" containsNumber="1" minValue="-0.44939999999999997" maxValue="0.13980000000000001"/>
    </cacheField>
    <cacheField name="passengers_carried_m" numFmtId="0">
      <sharedItems containsSemiMixedTypes="0" containsString="0" containsNumber="1" minValue="7.0000000000000007E-2" maxValue="10.85"/>
    </cacheField>
    <cacheField name="fuel_hedging_pct" numFmtId="0">
      <sharedItems containsSemiMixedTypes="0" containsString="0" containsNumber="1" minValue="1E-3" maxValue="0.65"/>
    </cacheField>
    <cacheField name="hedge_savings_usd_m" numFmtId="0">
      <sharedItems containsSemiMixedTypes="0" containsString="0" containsNumber="1" minValue="0" maxValue="571.61"/>
    </cacheField>
    <cacheField name="brent_crude_usd_barrel" numFmtId="0">
      <sharedItems containsSemiMixedTypes="0" containsString="0" containsNumber="1" minValue="20.57" maxValue="130.88"/>
    </cacheField>
    <cacheField name="jet_fuel_usd_barrel" numFmtId="0">
      <sharedItems containsSemiMixedTypes="0" containsString="0" containsNumber="1" minValue="23.69" maxValue="146.80000000000001"/>
    </cacheField>
    <cacheField name="daily_fuel_consumption_bbl" numFmtId="0">
      <sharedItems containsSemiMixedTypes="0" containsString="0" containsNumber="1" containsInteger="1" minValue="5200" maxValue="125000"/>
    </cacheField>
    <cacheField name="quarterly_fuel_bbl" numFmtId="0">
      <sharedItems containsSemiMixedTypes="0" containsString="0" containsNumber="1" containsInteger="1" minValue="473200" maxValue="11375000"/>
    </cacheField>
  </cacheFields>
  <extLst>
    <ext xmlns:x14="http://schemas.microsoft.com/office/spreadsheetml/2009/9/main" uri="{725AE2AE-9491-48be-B2B4-4EB974FC3084}">
      <x14:pivotCacheDefinition pivotCacheId="2005325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
  <r>
    <x v="0"/>
    <s v="2019-01"/>
    <s v="2019"/>
    <s v="01"/>
    <x v="0"/>
    <s v="Emirates"/>
    <s v="UAE"/>
    <x v="0"/>
    <x v="0"/>
    <n v="260"/>
    <n v="7254.03"/>
    <n v="576.88"/>
    <n v="7.9500000000000001E-2"/>
    <n v="995.04"/>
    <n v="0.13720000000000002"/>
    <n v="2.31"/>
    <n v="0.64"/>
    <n v="0"/>
    <n v="63"/>
    <n v="74.58"/>
    <n v="85000"/>
    <n v="7735000"/>
  </r>
  <r>
    <x v="1"/>
    <s v="2019-04"/>
    <s v="2019"/>
    <s v="04"/>
    <x v="0"/>
    <s v="Emirates"/>
    <s v="UAE"/>
    <x v="0"/>
    <x v="0"/>
    <n v="260"/>
    <n v="7685.08"/>
    <n v="567.28"/>
    <n v="7.3800000000000004E-2"/>
    <n v="973.28"/>
    <n v="0.12659999999999999"/>
    <n v="2.86"/>
    <n v="0.56000000000000005"/>
    <n v="0"/>
    <n v="64.790000000000006"/>
    <n v="73.34"/>
    <n v="85000"/>
    <n v="7735000"/>
  </r>
  <r>
    <x v="2"/>
    <s v="2019-07"/>
    <s v="2019"/>
    <s v="07"/>
    <x v="0"/>
    <s v="Emirates"/>
    <s v="UAE"/>
    <x v="0"/>
    <x v="0"/>
    <n v="260"/>
    <n v="7655.78"/>
    <n v="550.04"/>
    <n v="7.1800000000000003E-2"/>
    <n v="994.88"/>
    <n v="0.13"/>
    <n v="2.64"/>
    <n v="0.61099999999999999"/>
    <n v="0"/>
    <n v="60.46"/>
    <n v="71.11"/>
    <n v="85000"/>
    <n v="7735000"/>
  </r>
  <r>
    <x v="3"/>
    <s v="2019-10"/>
    <s v="2019"/>
    <s v="10"/>
    <x v="0"/>
    <s v="Emirates"/>
    <s v="UAE"/>
    <x v="0"/>
    <x v="0"/>
    <n v="260"/>
    <n v="7250.33"/>
    <n v="595.36"/>
    <n v="8.2100000000000006E-2"/>
    <n v="818.21"/>
    <n v="0.11289999999999999"/>
    <n v="2.63"/>
    <n v="0.53400000000000003"/>
    <n v="0"/>
    <n v="65.66"/>
    <n v="76.97"/>
    <n v="85000"/>
    <n v="7735000"/>
  </r>
  <r>
    <x v="4"/>
    <s v="2020-01"/>
    <s v="2020"/>
    <s v="01"/>
    <x v="0"/>
    <s v="Emirates"/>
    <s v="UAE"/>
    <x v="0"/>
    <x v="0"/>
    <n v="260"/>
    <n v="7583.43"/>
    <n v="583.05999999999995"/>
    <n v="7.690000000000001E-2"/>
    <n v="330.17"/>
    <n v="4.3499999999999997E-2"/>
    <n v="2.76"/>
    <n v="1.4999999999999999E-2"/>
    <n v="0"/>
    <n v="66.66"/>
    <n v="75.38"/>
    <n v="85000"/>
    <n v="7735000"/>
  </r>
  <r>
    <x v="5"/>
    <s v="2020-04"/>
    <s v="2020"/>
    <s v="04"/>
    <x v="1"/>
    <s v="Emirates"/>
    <s v="UAE"/>
    <x v="0"/>
    <x v="0"/>
    <n v="260"/>
    <n v="1860.68"/>
    <n v="183.24"/>
    <n v="9.849999999999999E-2"/>
    <n v="-447.05"/>
    <n v="-0.24030000000000001"/>
    <n v="0.69"/>
    <n v="0.54700000000000004"/>
    <n v="0"/>
    <n v="20.57"/>
    <n v="23.69"/>
    <n v="85000"/>
    <n v="7735000"/>
  </r>
  <r>
    <x v="6"/>
    <s v="2020-07"/>
    <s v="2020"/>
    <s v="07"/>
    <x v="1"/>
    <s v="Emirates"/>
    <s v="UAE"/>
    <x v="0"/>
    <x v="0"/>
    <n v="260"/>
    <n v="1961"/>
    <n v="390.08"/>
    <n v="0.19889999999999999"/>
    <n v="-792.33"/>
    <n v="-0.40399999999999997"/>
    <n v="0.68"/>
    <n v="0.33600000000000002"/>
    <n v="0"/>
    <n v="44.05"/>
    <n v="50.43"/>
    <n v="85000"/>
    <n v="7735000"/>
  </r>
  <r>
    <x v="7"/>
    <s v="2020-10"/>
    <s v="2020"/>
    <s v="10"/>
    <x v="1"/>
    <s v="Emirates"/>
    <s v="UAE"/>
    <x v="0"/>
    <x v="0"/>
    <n v="260"/>
    <n v="1558.41"/>
    <n v="353.18"/>
    <n v="0.2266"/>
    <n v="-536.05999999999995"/>
    <n v="-0.34399999999999997"/>
    <n v="0.57999999999999996"/>
    <n v="0.33700000000000002"/>
    <n v="0"/>
    <n v="39.950000000000003"/>
    <n v="45.66"/>
    <n v="85000"/>
    <n v="7735000"/>
  </r>
  <r>
    <x v="8"/>
    <s v="2021-01"/>
    <s v="2021"/>
    <s v="01"/>
    <x v="1"/>
    <s v="Emirates"/>
    <s v="UAE"/>
    <x v="0"/>
    <x v="0"/>
    <n v="260"/>
    <n v="2109.38"/>
    <n v="663.43"/>
    <n v="0.3145"/>
    <n v="-687.76"/>
    <n v="-0.32600000000000001"/>
    <n v="0.75"/>
    <n v="0.06"/>
    <n v="0"/>
    <n v="75.489999999999995"/>
    <n v="85.77"/>
    <n v="85000"/>
    <n v="7735000"/>
  </r>
  <r>
    <x v="9"/>
    <s v="2021-04"/>
    <s v="2021"/>
    <s v="04"/>
    <x v="1"/>
    <s v="Emirates"/>
    <s v="UAE"/>
    <x v="0"/>
    <x v="0"/>
    <n v="260"/>
    <n v="2438.0100000000002"/>
    <n v="703.27"/>
    <n v="0.28850000000000003"/>
    <n v="-831.4"/>
    <n v="-0.34100000000000003"/>
    <n v="0.89"/>
    <n v="0.434"/>
    <n v="3.12"/>
    <n v="76.83"/>
    <n v="90.92"/>
    <n v="85000"/>
    <n v="7735000"/>
  </r>
  <r>
    <x v="10"/>
    <s v="2021-07"/>
    <s v="2021"/>
    <s v="07"/>
    <x v="2"/>
    <s v="Emirates"/>
    <s v="UAE"/>
    <x v="0"/>
    <x v="0"/>
    <n v="260"/>
    <n v="5871.44"/>
    <n v="695.53"/>
    <n v="0.11849999999999999"/>
    <n v="-266.95"/>
    <n v="-4.5499999999999999E-2"/>
    <n v="2.2200000000000002"/>
    <n v="0.53900000000000003"/>
    <n v="0"/>
    <n v="78.97"/>
    <n v="89.92"/>
    <n v="85000"/>
    <n v="7735000"/>
  </r>
  <r>
    <x v="11"/>
    <s v="2021-10"/>
    <s v="2021"/>
    <s v="10"/>
    <x v="2"/>
    <s v="Emirates"/>
    <s v="UAE"/>
    <x v="0"/>
    <x v="0"/>
    <n v="260"/>
    <n v="5921.45"/>
    <n v="806.37"/>
    <n v="0.13619999999999999"/>
    <n v="63.51"/>
    <n v="1.0700000000000001E-2"/>
    <n v="2.1800000000000002"/>
    <n v="0.374"/>
    <n v="47.75"/>
    <n v="86.82"/>
    <n v="104.25"/>
    <n v="85000"/>
    <n v="7735000"/>
  </r>
  <r>
    <x v="12"/>
    <s v="2022-01"/>
    <s v="2022"/>
    <s v="01"/>
    <x v="2"/>
    <s v="Emirates"/>
    <s v="UAE"/>
    <x v="0"/>
    <x v="0"/>
    <n v="260"/>
    <n v="5442.54"/>
    <n v="629.94000000000005"/>
    <n v="0.1157"/>
    <n v="283.23"/>
    <n v="5.2000000000000005E-2"/>
    <n v="1.94"/>
    <n v="0.05"/>
    <n v="0"/>
    <n v="72.010000000000005"/>
    <n v="81.44"/>
    <n v="85000"/>
    <n v="7735000"/>
  </r>
  <r>
    <x v="13"/>
    <s v="2022-04"/>
    <s v="2022"/>
    <s v="04"/>
    <x v="3"/>
    <s v="Emirates"/>
    <s v="UAE"/>
    <x v="0"/>
    <x v="0"/>
    <n v="260"/>
    <n v="6981.04"/>
    <n v="1018.16"/>
    <n v="0.14580000000000001"/>
    <n v="487.05"/>
    <n v="6.9800000000000001E-2"/>
    <n v="2.62"/>
    <n v="0.60599999999999998"/>
    <n v="285.39999999999998"/>
    <n v="109.53"/>
    <n v="131.63"/>
    <n v="85000"/>
    <n v="7735000"/>
  </r>
  <r>
    <x v="14"/>
    <s v="2022-07"/>
    <s v="2022"/>
    <s v="07"/>
    <x v="3"/>
    <s v="Emirates"/>
    <s v="UAE"/>
    <x v="0"/>
    <x v="0"/>
    <n v="260"/>
    <n v="7741.42"/>
    <n v="730.88"/>
    <n v="9.4399999999999998E-2"/>
    <n v="312.33"/>
    <n v="4.0300000000000002E-2"/>
    <n v="2.68"/>
    <n v="0.28199999999999997"/>
    <n v="10.28"/>
    <n v="80.69"/>
    <n v="94.49"/>
    <n v="85000"/>
    <n v="7735000"/>
  </r>
  <r>
    <x v="15"/>
    <s v="2022-10"/>
    <s v="2022"/>
    <s v="10"/>
    <x v="3"/>
    <s v="Emirates"/>
    <s v="UAE"/>
    <x v="0"/>
    <x v="0"/>
    <n v="260"/>
    <n v="7161.09"/>
    <n v="816.51"/>
    <n v="0.114"/>
    <n v="171.74"/>
    <n v="2.4E-2"/>
    <n v="2.33"/>
    <n v="0.1"/>
    <n v="14.12"/>
    <n v="93.25"/>
    <n v="105.56"/>
    <n v="85000"/>
    <n v="7735000"/>
  </r>
  <r>
    <x v="16"/>
    <s v="2023-01"/>
    <s v="2023"/>
    <s v="01"/>
    <x v="4"/>
    <s v="Emirates"/>
    <s v="UAE"/>
    <x v="0"/>
    <x v="0"/>
    <n v="260"/>
    <n v="7469.28"/>
    <n v="751.3"/>
    <n v="0.10060000000000001"/>
    <n v="606.35"/>
    <n v="8.1199999999999994E-2"/>
    <n v="2.5099999999999998"/>
    <n v="0.28899999999999998"/>
    <n v="17.2"/>
    <n v="84.29"/>
    <n v="97.13"/>
    <n v="85000"/>
    <n v="7735000"/>
  </r>
  <r>
    <x v="17"/>
    <s v="2023-04"/>
    <s v="2023"/>
    <s v="04"/>
    <x v="4"/>
    <s v="Emirates"/>
    <s v="UAE"/>
    <x v="0"/>
    <x v="0"/>
    <n v="260"/>
    <n v="7193.07"/>
    <n v="788.74"/>
    <n v="0.10970000000000001"/>
    <n v="832.58"/>
    <n v="0.1157"/>
    <n v="2.34"/>
    <n v="3.6000000000000004E-2"/>
    <n v="3.78"/>
    <n v="88.18"/>
    <n v="101.97"/>
    <n v="85000"/>
    <n v="7735000"/>
  </r>
  <r>
    <x v="18"/>
    <s v="2023-07"/>
    <s v="2023"/>
    <s v="07"/>
    <x v="4"/>
    <s v="Emirates"/>
    <s v="UAE"/>
    <x v="0"/>
    <x v="0"/>
    <n v="260"/>
    <n v="7500.79"/>
    <n v="754.32"/>
    <n v="0.10060000000000001"/>
    <n v="472.98"/>
    <n v="6.3099999999999989E-2"/>
    <n v="2.68"/>
    <n v="3.7999999999999999E-2"/>
    <n v="2.4"/>
    <n v="85.16"/>
    <n v="97.52"/>
    <n v="85000"/>
    <n v="7735000"/>
  </r>
  <r>
    <x v="19"/>
    <s v="2023-10"/>
    <s v="2023"/>
    <s v="10"/>
    <x v="5"/>
    <s v="Emirates"/>
    <s v="UAE"/>
    <x v="0"/>
    <x v="0"/>
    <n v="260"/>
    <n v="7120.39"/>
    <n v="695.84"/>
    <n v="9.7699999999999995E-2"/>
    <n v="394.39"/>
    <n v="5.5399999999999998E-2"/>
    <n v="2.37"/>
    <n v="0.214"/>
    <n v="0"/>
    <n v="78.33"/>
    <n v="89.96"/>
    <n v="85000"/>
    <n v="7735000"/>
  </r>
  <r>
    <x v="20"/>
    <s v="2024-01"/>
    <s v="2024"/>
    <s v="01"/>
    <x v="5"/>
    <s v="Emirates"/>
    <s v="UAE"/>
    <x v="0"/>
    <x v="0"/>
    <n v="260"/>
    <n v="7354.22"/>
    <n v="765.92"/>
    <n v="0.1041"/>
    <n v="676.69"/>
    <n v="9.1999999999999998E-2"/>
    <n v="2.62"/>
    <n v="0.21600000000000003"/>
    <n v="16.579999999999998"/>
    <n v="84.61"/>
    <n v="99.02"/>
    <n v="85000"/>
    <n v="7735000"/>
  </r>
  <r>
    <x v="21"/>
    <s v="2024-04"/>
    <s v="2024"/>
    <s v="04"/>
    <x v="5"/>
    <s v="Emirates"/>
    <s v="UAE"/>
    <x v="0"/>
    <x v="0"/>
    <n v="260"/>
    <n v="7388.93"/>
    <n v="787.27"/>
    <n v="0.1065"/>
    <n v="1027.1500000000001"/>
    <n v="0.13900000000000001"/>
    <n v="2.42"/>
    <n v="9.9000000000000005E-2"/>
    <n v="10.199999999999999"/>
    <n v="84.06"/>
    <n v="101.78"/>
    <n v="85000"/>
    <n v="7735000"/>
  </r>
  <r>
    <x v="22"/>
    <s v="2024-07"/>
    <s v="2024"/>
    <s v="07"/>
    <x v="5"/>
    <s v="Emirates"/>
    <s v="UAE"/>
    <x v="0"/>
    <x v="0"/>
    <n v="260"/>
    <n v="7681.62"/>
    <n v="726.94"/>
    <n v="9.4600000000000004E-2"/>
    <n v="622.49"/>
    <n v="8.1000000000000003E-2"/>
    <n v="2.86"/>
    <n v="0.27600000000000002"/>
    <n v="8.8699999999999992"/>
    <n v="80.400000000000006"/>
    <n v="93.98"/>
    <n v="85000"/>
    <n v="7735000"/>
  </r>
  <r>
    <x v="23"/>
    <s v="2024-10"/>
    <s v="2024"/>
    <s v="10"/>
    <x v="5"/>
    <s v="Emirates"/>
    <s v="UAE"/>
    <x v="0"/>
    <x v="0"/>
    <n v="260"/>
    <n v="6907.94"/>
    <n v="870.34"/>
    <n v="0.126"/>
    <n v="535.28"/>
    <n v="7.7499999999999999E-2"/>
    <n v="2.46"/>
    <n v="0.29100000000000004"/>
    <n v="63.37"/>
    <n v="94.78"/>
    <n v="112.52"/>
    <n v="85000"/>
    <n v="7735000"/>
  </r>
  <r>
    <x v="24"/>
    <s v="2025-01"/>
    <s v="2025"/>
    <s v="01"/>
    <x v="6"/>
    <s v="Emirates"/>
    <s v="UAE"/>
    <x v="0"/>
    <x v="0"/>
    <n v="260"/>
    <n v="7320.43"/>
    <n v="785.41"/>
    <n v="0.10730000000000001"/>
    <n v="1023.63"/>
    <n v="0.13980000000000001"/>
    <n v="2.57"/>
    <n v="0.45299999999999996"/>
    <n v="45.62"/>
    <n v="85.13"/>
    <n v="101.54"/>
    <n v="85000"/>
    <n v="7735000"/>
  </r>
  <r>
    <x v="25"/>
    <s v="2025-04"/>
    <s v="2025"/>
    <s v="04"/>
    <x v="6"/>
    <s v="Emirates"/>
    <s v="UAE"/>
    <x v="0"/>
    <x v="0"/>
    <n v="260"/>
    <n v="7567.02"/>
    <n v="931.53"/>
    <n v="0.1231"/>
    <n v="302.81"/>
    <n v="0.04"/>
    <n v="2.66"/>
    <n v="0.626"/>
    <n v="197.16"/>
    <n v="101.77"/>
    <n v="120.43"/>
    <n v="85000"/>
    <n v="7735000"/>
  </r>
  <r>
    <x v="26"/>
    <s v="2025-07"/>
    <s v="2025"/>
    <s v="07"/>
    <x v="6"/>
    <s v="Emirates"/>
    <s v="UAE"/>
    <x v="0"/>
    <x v="0"/>
    <n v="260"/>
    <n v="7595.15"/>
    <n v="868.02"/>
    <n v="0.1143"/>
    <n v="562.37"/>
    <n v="7.400000000000001E-2"/>
    <n v="2.57"/>
    <n v="0.19699999999999998"/>
    <n v="42.22"/>
    <n v="93.24"/>
    <n v="112.22"/>
    <n v="85000"/>
    <n v="7735000"/>
  </r>
  <r>
    <x v="27"/>
    <s v="2025-10"/>
    <s v="2025"/>
    <s v="10"/>
    <x v="6"/>
    <s v="Emirates"/>
    <s v="UAE"/>
    <x v="0"/>
    <x v="0"/>
    <n v="260"/>
    <n v="7481.47"/>
    <n v="863.77"/>
    <n v="0.11550000000000001"/>
    <n v="372.07"/>
    <n v="4.9699999999999994E-2"/>
    <n v="2.4900000000000002"/>
    <n v="0.32400000000000001"/>
    <n v="67.38"/>
    <n v="99.34"/>
    <n v="111.67"/>
    <n v="85000"/>
    <n v="7735000"/>
  </r>
  <r>
    <x v="28"/>
    <s v="2026-01"/>
    <s v="2026"/>
    <s v="01"/>
    <x v="7"/>
    <s v="Emirates"/>
    <s v="UAE"/>
    <x v="0"/>
    <x v="0"/>
    <n v="260"/>
    <n v="4595.08"/>
    <n v="1135.5"/>
    <n v="0.24710000000000001"/>
    <n v="-590.54999999999995"/>
    <n v="-0.1285"/>
    <n v="1.69"/>
    <n v="0.106"/>
    <n v="75.959999999999994"/>
    <n v="130.88"/>
    <n v="146.80000000000001"/>
    <n v="85000"/>
    <n v="7735000"/>
  </r>
  <r>
    <x v="0"/>
    <s v="2019-01"/>
    <s v="2019"/>
    <s v="01"/>
    <x v="0"/>
    <s v="Qatar Airways"/>
    <s v="Qatar"/>
    <x v="0"/>
    <x v="0"/>
    <n v="234"/>
    <n v="4529.04"/>
    <n v="488.65"/>
    <n v="0.1079"/>
    <n v="576.24"/>
    <n v="0.12720000000000001"/>
    <n v="2.37"/>
    <n v="0.53400000000000003"/>
    <n v="0"/>
    <n v="63"/>
    <n v="74.58"/>
    <n v="72000"/>
    <n v="6552000"/>
  </r>
  <r>
    <x v="1"/>
    <s v="2019-04"/>
    <s v="2019"/>
    <s v="04"/>
    <x v="0"/>
    <s v="Qatar Airways"/>
    <s v="Qatar"/>
    <x v="0"/>
    <x v="0"/>
    <n v="234"/>
    <n v="4519.18"/>
    <n v="480.52"/>
    <n v="0.10630000000000001"/>
    <n v="207.09"/>
    <n v="4.58E-2"/>
    <n v="2.23"/>
    <n v="0.56600000000000006"/>
    <n v="0"/>
    <n v="64.790000000000006"/>
    <n v="73.34"/>
    <n v="72000"/>
    <n v="6552000"/>
  </r>
  <r>
    <x v="2"/>
    <s v="2019-07"/>
    <s v="2019"/>
    <s v="07"/>
    <x v="0"/>
    <s v="Qatar Airways"/>
    <s v="Qatar"/>
    <x v="0"/>
    <x v="0"/>
    <n v="234"/>
    <n v="4536.5600000000004"/>
    <n v="465.91"/>
    <n v="0.1027"/>
    <n v="591.66"/>
    <n v="0.13039999999999999"/>
    <n v="2.0699999999999998"/>
    <n v="0.19399999999999998"/>
    <n v="0"/>
    <n v="60.46"/>
    <n v="71.11"/>
    <n v="72000"/>
    <n v="6552000"/>
  </r>
  <r>
    <x v="3"/>
    <s v="2019-10"/>
    <s v="2019"/>
    <s v="10"/>
    <x v="0"/>
    <s v="Qatar Airways"/>
    <s v="Qatar"/>
    <x v="0"/>
    <x v="0"/>
    <n v="234"/>
    <n v="4573.1000000000004"/>
    <n v="504.31"/>
    <n v="0.1103"/>
    <n v="252.02"/>
    <n v="5.5099999999999996E-2"/>
    <n v="2.41"/>
    <n v="0.26800000000000002"/>
    <n v="0"/>
    <n v="65.66"/>
    <n v="76.97"/>
    <n v="72000"/>
    <n v="6552000"/>
  </r>
  <r>
    <x v="4"/>
    <s v="2020-01"/>
    <s v="2020"/>
    <s v="01"/>
    <x v="0"/>
    <s v="Qatar Airways"/>
    <s v="Qatar"/>
    <x v="0"/>
    <x v="0"/>
    <n v="234"/>
    <n v="4508.38"/>
    <n v="493.89"/>
    <n v="0.10949999999999999"/>
    <n v="246.72"/>
    <n v="5.4699999999999999E-2"/>
    <n v="2.1800000000000002"/>
    <n v="1.1000000000000001E-2"/>
    <n v="0"/>
    <n v="66.66"/>
    <n v="75.38"/>
    <n v="72000"/>
    <n v="6552000"/>
  </r>
  <r>
    <x v="5"/>
    <s v="2020-04"/>
    <s v="2020"/>
    <s v="04"/>
    <x v="1"/>
    <s v="Qatar Airways"/>
    <s v="Qatar"/>
    <x v="0"/>
    <x v="0"/>
    <n v="234"/>
    <n v="805.73"/>
    <n v="155.22"/>
    <n v="0.19260000000000002"/>
    <n v="-361.83"/>
    <n v="-0.44909999999999994"/>
    <n v="0.36"/>
    <n v="0.64800000000000002"/>
    <n v="0"/>
    <n v="20.57"/>
    <n v="23.69"/>
    <n v="72000"/>
    <n v="6552000"/>
  </r>
  <r>
    <x v="6"/>
    <s v="2020-07"/>
    <s v="2020"/>
    <s v="07"/>
    <x v="1"/>
    <s v="Qatar Airways"/>
    <s v="Qatar"/>
    <x v="0"/>
    <x v="0"/>
    <n v="234"/>
    <n v="1108.97"/>
    <n v="330.42"/>
    <n v="0.2979"/>
    <n v="-296.95"/>
    <n v="-0.26780000000000004"/>
    <n v="0.56999999999999995"/>
    <n v="0.57200000000000006"/>
    <n v="0"/>
    <n v="44.05"/>
    <n v="50.43"/>
    <n v="72000"/>
    <n v="6552000"/>
  </r>
  <r>
    <x v="7"/>
    <s v="2020-10"/>
    <s v="2020"/>
    <s v="10"/>
    <x v="1"/>
    <s v="Qatar Airways"/>
    <s v="Qatar"/>
    <x v="0"/>
    <x v="0"/>
    <n v="234"/>
    <n v="789.71"/>
    <n v="299.16000000000003"/>
    <n v="0.37880000000000003"/>
    <n v="-251.59"/>
    <n v="-0.31859999999999999"/>
    <n v="0.37"/>
    <n v="0.35700000000000004"/>
    <n v="0"/>
    <n v="39.950000000000003"/>
    <n v="45.66"/>
    <n v="72000"/>
    <n v="6552000"/>
  </r>
  <r>
    <x v="8"/>
    <s v="2021-01"/>
    <s v="2021"/>
    <s v="01"/>
    <x v="1"/>
    <s v="Qatar Airways"/>
    <s v="Qatar"/>
    <x v="0"/>
    <x v="0"/>
    <n v="234"/>
    <n v="1000.96"/>
    <n v="561.97"/>
    <n v="0.56140000000000001"/>
    <n v="-404.47"/>
    <n v="-0.40409999999999996"/>
    <n v="0.51"/>
    <n v="2.5000000000000001E-2"/>
    <n v="0"/>
    <n v="75.489999999999995"/>
    <n v="85.77"/>
    <n v="72000"/>
    <n v="6552000"/>
  </r>
  <r>
    <x v="9"/>
    <s v="2021-04"/>
    <s v="2021"/>
    <s v="04"/>
    <x v="1"/>
    <s v="Qatar Airways"/>
    <s v="Qatar"/>
    <x v="0"/>
    <x v="0"/>
    <n v="234"/>
    <n v="1521.98"/>
    <n v="595.71"/>
    <n v="0.39140000000000003"/>
    <n v="-629.24"/>
    <n v="-0.41340000000000005"/>
    <n v="0.76"/>
    <n v="0.49"/>
    <n v="2.98"/>
    <n v="76.83"/>
    <n v="90.92"/>
    <n v="72000"/>
    <n v="6552000"/>
  </r>
  <r>
    <x v="10"/>
    <s v="2021-07"/>
    <s v="2021"/>
    <s v="07"/>
    <x v="2"/>
    <s v="Qatar Airways"/>
    <s v="Qatar"/>
    <x v="0"/>
    <x v="0"/>
    <n v="234"/>
    <n v="3073.71"/>
    <n v="589.16"/>
    <n v="0.19170000000000001"/>
    <n v="207.25"/>
    <n v="6.7400000000000002E-2"/>
    <n v="1.47"/>
    <n v="0.64800000000000002"/>
    <n v="0"/>
    <n v="78.97"/>
    <n v="89.92"/>
    <n v="72000"/>
    <n v="6552000"/>
  </r>
  <r>
    <x v="11"/>
    <s v="2021-10"/>
    <s v="2021"/>
    <s v="10"/>
    <x v="2"/>
    <s v="Qatar Airways"/>
    <s v="Qatar"/>
    <x v="0"/>
    <x v="0"/>
    <n v="234"/>
    <n v="3069.87"/>
    <n v="683.05"/>
    <n v="0.2225"/>
    <n v="132.56"/>
    <n v="4.3200000000000002E-2"/>
    <n v="1.4"/>
    <n v="0.26200000000000001"/>
    <n v="28.34"/>
    <n v="86.82"/>
    <n v="104.25"/>
    <n v="72000"/>
    <n v="6552000"/>
  </r>
  <r>
    <x v="12"/>
    <s v="2022-01"/>
    <s v="2022"/>
    <s v="01"/>
    <x v="2"/>
    <s v="Qatar Airways"/>
    <s v="Qatar"/>
    <x v="0"/>
    <x v="0"/>
    <n v="234"/>
    <n v="3416.22"/>
    <n v="533.59"/>
    <n v="0.15620000000000001"/>
    <n v="9.57"/>
    <n v="2.8000000000000004E-3"/>
    <n v="1.62"/>
    <n v="0.499"/>
    <n v="0"/>
    <n v="72.010000000000005"/>
    <n v="81.44"/>
    <n v="72000"/>
    <n v="6552000"/>
  </r>
  <r>
    <x v="13"/>
    <s v="2022-04"/>
    <s v="2022"/>
    <s v="04"/>
    <x v="3"/>
    <s v="Qatar Airways"/>
    <s v="Qatar"/>
    <x v="0"/>
    <x v="0"/>
    <n v="234"/>
    <n v="4920.8999999999996"/>
    <n v="862.44"/>
    <n v="0.17530000000000001"/>
    <n v="230.54"/>
    <n v="4.6799999999999994E-2"/>
    <n v="2.41"/>
    <n v="0.27399999999999997"/>
    <n v="109.31"/>
    <n v="109.53"/>
    <n v="131.63"/>
    <n v="72000"/>
    <n v="6552000"/>
  </r>
  <r>
    <x v="14"/>
    <s v="2022-07"/>
    <s v="2022"/>
    <s v="07"/>
    <x v="3"/>
    <s v="Qatar Airways"/>
    <s v="Qatar"/>
    <x v="0"/>
    <x v="0"/>
    <n v="234"/>
    <n v="4711.5"/>
    <n v="619.1"/>
    <n v="0.13140000000000002"/>
    <n v="150.87"/>
    <n v="3.2000000000000001E-2"/>
    <n v="2.4500000000000002"/>
    <n v="0.51800000000000002"/>
    <n v="16"/>
    <n v="80.69"/>
    <n v="94.49"/>
    <n v="72000"/>
    <n v="6552000"/>
  </r>
  <r>
    <x v="15"/>
    <s v="2022-10"/>
    <s v="2022"/>
    <s v="10"/>
    <x v="3"/>
    <s v="Qatar Airways"/>
    <s v="Qatar"/>
    <x v="0"/>
    <x v="0"/>
    <n v="234"/>
    <n v="4708.63"/>
    <n v="691.63"/>
    <n v="0.1469"/>
    <n v="375.24"/>
    <n v="7.9699999999999993E-2"/>
    <n v="2.54"/>
    <n v="0.6"/>
    <n v="71.739999999999995"/>
    <n v="93.25"/>
    <n v="105.56"/>
    <n v="72000"/>
    <n v="6552000"/>
  </r>
  <r>
    <x v="16"/>
    <s v="2023-01"/>
    <s v="2023"/>
    <s v="01"/>
    <x v="4"/>
    <s v="Qatar Airways"/>
    <s v="Qatar"/>
    <x v="0"/>
    <x v="0"/>
    <n v="234"/>
    <n v="4761.38"/>
    <n v="636.4"/>
    <n v="0.13369999999999999"/>
    <n v="433.95"/>
    <n v="9.11E-2"/>
    <n v="2.35"/>
    <n v="0.30299999999999999"/>
    <n v="15.28"/>
    <n v="84.29"/>
    <n v="97.13"/>
    <n v="72000"/>
    <n v="6552000"/>
  </r>
  <r>
    <x v="17"/>
    <s v="2023-04"/>
    <s v="2023"/>
    <s v="04"/>
    <x v="4"/>
    <s v="Qatar Airways"/>
    <s v="Qatar"/>
    <x v="0"/>
    <x v="0"/>
    <n v="234"/>
    <n v="4682.49"/>
    <n v="668.11"/>
    <n v="0.14269999999999999"/>
    <n v="530.07000000000005"/>
    <n v="0.11320000000000001"/>
    <n v="2.52"/>
    <n v="2.8999999999999998E-2"/>
    <n v="2.58"/>
    <n v="88.18"/>
    <n v="101.97"/>
    <n v="72000"/>
    <n v="6552000"/>
  </r>
  <r>
    <x v="18"/>
    <s v="2023-07"/>
    <s v="2023"/>
    <s v="07"/>
    <x v="4"/>
    <s v="Qatar Airways"/>
    <s v="Qatar"/>
    <x v="0"/>
    <x v="0"/>
    <n v="234"/>
    <n v="4532.1499999999996"/>
    <n v="638.95000000000005"/>
    <n v="0.14099999999999999"/>
    <n v="276.56"/>
    <n v="6.0999999999999999E-2"/>
    <n v="2.37"/>
    <n v="0.27300000000000002"/>
    <n v="14.57"/>
    <n v="85.16"/>
    <n v="97.52"/>
    <n v="72000"/>
    <n v="6552000"/>
  </r>
  <r>
    <x v="19"/>
    <s v="2023-10"/>
    <s v="2023"/>
    <s v="10"/>
    <x v="5"/>
    <s v="Qatar Airways"/>
    <s v="Qatar"/>
    <x v="0"/>
    <x v="0"/>
    <n v="234"/>
    <n v="4709.49"/>
    <n v="589.41999999999996"/>
    <n v="0.12520000000000001"/>
    <n v="409.33"/>
    <n v="8.6899999999999991E-2"/>
    <n v="2.4700000000000002"/>
    <n v="0.32500000000000001"/>
    <n v="0"/>
    <n v="78.33"/>
    <n v="89.96"/>
    <n v="72000"/>
    <n v="6552000"/>
  </r>
  <r>
    <x v="20"/>
    <s v="2024-01"/>
    <s v="2024"/>
    <s v="01"/>
    <x v="5"/>
    <s v="Qatar Airways"/>
    <s v="Qatar"/>
    <x v="0"/>
    <x v="0"/>
    <n v="234"/>
    <n v="4795.29"/>
    <n v="648.78"/>
    <n v="0.1353"/>
    <n v="201.15"/>
    <n v="4.1900000000000007E-2"/>
    <n v="2.4300000000000002"/>
    <n v="0.157"/>
    <n v="10.210000000000001"/>
    <n v="84.61"/>
    <n v="99.02"/>
    <n v="72000"/>
    <n v="6552000"/>
  </r>
  <r>
    <x v="21"/>
    <s v="2024-04"/>
    <s v="2024"/>
    <s v="04"/>
    <x v="5"/>
    <s v="Qatar Airways"/>
    <s v="Qatar"/>
    <x v="0"/>
    <x v="0"/>
    <n v="234"/>
    <n v="4914.95"/>
    <n v="666.86"/>
    <n v="0.13570000000000002"/>
    <n v="565.98"/>
    <n v="0.1152"/>
    <n v="2.2200000000000002"/>
    <n v="6.7000000000000004E-2"/>
    <n v="5.85"/>
    <n v="84.06"/>
    <n v="101.78"/>
    <n v="72000"/>
    <n v="6552000"/>
  </r>
  <r>
    <x v="22"/>
    <s v="2024-07"/>
    <s v="2024"/>
    <s v="07"/>
    <x v="5"/>
    <s v="Qatar Airways"/>
    <s v="Qatar"/>
    <x v="0"/>
    <x v="0"/>
    <n v="234"/>
    <n v="4569.92"/>
    <n v="615.76"/>
    <n v="0.13470000000000001"/>
    <n v="240.27"/>
    <n v="5.2600000000000001E-2"/>
    <n v="2.35"/>
    <n v="0.6409999999999999"/>
    <n v="17.45"/>
    <n v="80.400000000000006"/>
    <n v="93.98"/>
    <n v="72000"/>
    <n v="6552000"/>
  </r>
  <r>
    <x v="23"/>
    <s v="2024-10"/>
    <s v="2024"/>
    <s v="10"/>
    <x v="5"/>
    <s v="Qatar Airways"/>
    <s v="Qatar"/>
    <x v="0"/>
    <x v="0"/>
    <n v="234"/>
    <n v="4787.72"/>
    <n v="737.23"/>
    <n v="0.154"/>
    <n v="310.75"/>
    <n v="6.4899999999999999E-2"/>
    <n v="2.38"/>
    <n v="0.52400000000000002"/>
    <n v="96.66"/>
    <n v="94.78"/>
    <n v="112.52"/>
    <n v="72000"/>
    <n v="6552000"/>
  </r>
  <r>
    <x v="24"/>
    <s v="2025-01"/>
    <s v="2025"/>
    <s v="01"/>
    <x v="6"/>
    <s v="Qatar Airways"/>
    <s v="Qatar"/>
    <x v="0"/>
    <x v="0"/>
    <n v="234"/>
    <n v="4972.28"/>
    <n v="665.29"/>
    <n v="0.1338"/>
    <n v="201.41"/>
    <n v="4.0500000000000001E-2"/>
    <n v="2.4500000000000002"/>
    <n v="0.29499999999999998"/>
    <n v="25.16"/>
    <n v="85.13"/>
    <n v="101.54"/>
    <n v="72000"/>
    <n v="6552000"/>
  </r>
  <r>
    <x v="25"/>
    <s v="2025-04"/>
    <s v="2025"/>
    <s v="04"/>
    <x v="6"/>
    <s v="Qatar Airways"/>
    <s v="Qatar"/>
    <x v="0"/>
    <x v="0"/>
    <n v="234"/>
    <n v="4642.96"/>
    <n v="789.06"/>
    <n v="0.1699"/>
    <n v="419.65"/>
    <n v="9.0399999999999994E-2"/>
    <n v="2.23"/>
    <n v="0.22399999999999998"/>
    <n v="59.76"/>
    <n v="101.77"/>
    <n v="120.43"/>
    <n v="72000"/>
    <n v="6552000"/>
  </r>
  <r>
    <x v="26"/>
    <s v="2025-07"/>
    <s v="2025"/>
    <s v="07"/>
    <x v="6"/>
    <s v="Qatar Airways"/>
    <s v="Qatar"/>
    <x v="0"/>
    <x v="0"/>
    <n v="234"/>
    <n v="4462.78"/>
    <n v="735.27"/>
    <n v="0.1648"/>
    <n v="401.58"/>
    <n v="0.09"/>
    <n v="2.33"/>
    <n v="6.8000000000000005E-2"/>
    <n v="12.34"/>
    <n v="93.24"/>
    <n v="112.22"/>
    <n v="72000"/>
    <n v="6552000"/>
  </r>
  <r>
    <x v="27"/>
    <s v="2025-10"/>
    <s v="2025"/>
    <s v="10"/>
    <x v="6"/>
    <s v="Qatar Airways"/>
    <s v="Qatar"/>
    <x v="0"/>
    <x v="0"/>
    <n v="234"/>
    <n v="4837.7700000000004"/>
    <n v="731.66"/>
    <n v="0.1512"/>
    <n v="323.05"/>
    <n v="6.6799999999999998E-2"/>
    <n v="2.3199999999999998"/>
    <n v="0.64200000000000002"/>
    <n v="113.1"/>
    <n v="99.34"/>
    <n v="111.67"/>
    <n v="72000"/>
    <n v="6552000"/>
  </r>
  <r>
    <x v="28"/>
    <s v="2026-01"/>
    <s v="2026"/>
    <s v="01"/>
    <x v="7"/>
    <s v="Qatar Airways"/>
    <s v="Qatar"/>
    <x v="0"/>
    <x v="0"/>
    <n v="234"/>
    <n v="3093.21"/>
    <n v="961.83"/>
    <n v="0.31090000000000001"/>
    <n v="-328.43"/>
    <n v="-0.10619999999999999"/>
    <n v="1.55"/>
    <n v="0.21"/>
    <n v="127.48"/>
    <n v="130.88"/>
    <n v="146.80000000000001"/>
    <n v="72000"/>
    <n v="6552000"/>
  </r>
  <r>
    <x v="0"/>
    <s v="2019-01"/>
    <s v="2019"/>
    <s v="01"/>
    <x v="0"/>
    <s v="Etihad Airways"/>
    <s v="UAE"/>
    <x v="0"/>
    <x v="0"/>
    <n v="110"/>
    <n v="2646.3"/>
    <n v="257.89999999999998"/>
    <n v="9.7500000000000003E-2"/>
    <n v="226.86"/>
    <n v="8.5699999999999998E-2"/>
    <n v="1.18"/>
    <n v="0.371"/>
    <n v="0"/>
    <n v="63"/>
    <n v="74.58"/>
    <n v="38000"/>
    <n v="3458000"/>
  </r>
  <r>
    <x v="1"/>
    <s v="2019-04"/>
    <s v="2019"/>
    <s v="04"/>
    <x v="0"/>
    <s v="Etihad Airways"/>
    <s v="UAE"/>
    <x v="0"/>
    <x v="0"/>
    <n v="110"/>
    <n v="2678.16"/>
    <n v="253.61"/>
    <n v="9.4700000000000006E-2"/>
    <n v="334.37"/>
    <n v="0.1249"/>
    <n v="1.19"/>
    <n v="0.26100000000000001"/>
    <n v="0"/>
    <n v="64.790000000000006"/>
    <n v="73.34"/>
    <n v="38000"/>
    <n v="3458000"/>
  </r>
  <r>
    <x v="2"/>
    <s v="2019-07"/>
    <s v="2019"/>
    <s v="07"/>
    <x v="0"/>
    <s v="Etihad Airways"/>
    <s v="UAE"/>
    <x v="0"/>
    <x v="0"/>
    <n v="110"/>
    <n v="2544.7399999999998"/>
    <n v="245.9"/>
    <n v="9.6600000000000005E-2"/>
    <n v="322.95"/>
    <n v="0.12689999999999999"/>
    <n v="0.99"/>
    <n v="0.182"/>
    <n v="0"/>
    <n v="60.46"/>
    <n v="71.11"/>
    <n v="38000"/>
    <n v="3458000"/>
  </r>
  <r>
    <x v="3"/>
    <s v="2019-10"/>
    <s v="2019"/>
    <s v="10"/>
    <x v="0"/>
    <s v="Etihad Airways"/>
    <s v="UAE"/>
    <x v="0"/>
    <x v="0"/>
    <n v="110"/>
    <n v="2462.61"/>
    <n v="266.16000000000003"/>
    <n v="0.1081"/>
    <n v="108.87"/>
    <n v="4.4199999999999996E-2"/>
    <n v="1.05"/>
    <n v="0.58599999999999997"/>
    <n v="0"/>
    <n v="65.66"/>
    <n v="76.97"/>
    <n v="38000"/>
    <n v="3458000"/>
  </r>
  <r>
    <x v="4"/>
    <s v="2020-01"/>
    <s v="2020"/>
    <s v="01"/>
    <x v="0"/>
    <s v="Etihad Airways"/>
    <s v="UAE"/>
    <x v="0"/>
    <x v="0"/>
    <n v="110"/>
    <n v="2465.4"/>
    <n v="260.66000000000003"/>
    <n v="0.1057"/>
    <n v="294.79000000000002"/>
    <n v="0.11960000000000001"/>
    <n v="1.01"/>
    <n v="0.40200000000000002"/>
    <n v="0"/>
    <n v="66.66"/>
    <n v="75.38"/>
    <n v="38000"/>
    <n v="3458000"/>
  </r>
  <r>
    <x v="5"/>
    <s v="2020-04"/>
    <s v="2020"/>
    <s v="04"/>
    <x v="1"/>
    <s v="Etihad Airways"/>
    <s v="UAE"/>
    <x v="0"/>
    <x v="0"/>
    <n v="110"/>
    <n v="772.01"/>
    <n v="81.92"/>
    <n v="0.1061"/>
    <n v="-210.36"/>
    <n v="-0.27250000000000002"/>
    <n v="0.3"/>
    <n v="7.4999999999999997E-2"/>
    <n v="0"/>
    <n v="20.57"/>
    <n v="23.69"/>
    <n v="38000"/>
    <n v="3458000"/>
  </r>
  <r>
    <x v="6"/>
    <s v="2020-07"/>
    <s v="2020"/>
    <s v="07"/>
    <x v="1"/>
    <s v="Etihad Airways"/>
    <s v="UAE"/>
    <x v="0"/>
    <x v="0"/>
    <n v="110"/>
    <n v="853.84"/>
    <n v="174.39"/>
    <n v="0.20420000000000002"/>
    <n v="-367.26"/>
    <n v="-0.43009999999999998"/>
    <n v="0.34"/>
    <n v="0.28499999999999998"/>
    <n v="0"/>
    <n v="44.05"/>
    <n v="50.43"/>
    <n v="38000"/>
    <n v="3458000"/>
  </r>
  <r>
    <x v="7"/>
    <s v="2020-10"/>
    <s v="2020"/>
    <s v="10"/>
    <x v="1"/>
    <s v="Etihad Airways"/>
    <s v="UAE"/>
    <x v="0"/>
    <x v="0"/>
    <n v="110"/>
    <n v="801.22"/>
    <n v="157.88999999999999"/>
    <n v="0.1971"/>
    <n v="-239.84"/>
    <n v="-0.29930000000000001"/>
    <n v="0.34"/>
    <n v="0.45"/>
    <n v="0"/>
    <n v="39.950000000000003"/>
    <n v="45.66"/>
    <n v="38000"/>
    <n v="3458000"/>
  </r>
  <r>
    <x v="8"/>
    <s v="2021-01"/>
    <s v="2021"/>
    <s v="01"/>
    <x v="1"/>
    <s v="Etihad Airways"/>
    <s v="UAE"/>
    <x v="0"/>
    <x v="0"/>
    <n v="110"/>
    <n v="791.6"/>
    <n v="296.58999999999997"/>
    <n v="0.37469999999999998"/>
    <n v="-310.2"/>
    <n v="-0.39189999999999997"/>
    <n v="0.3"/>
    <n v="8.3000000000000004E-2"/>
    <n v="0"/>
    <n v="75.489999999999995"/>
    <n v="85.77"/>
    <n v="38000"/>
    <n v="3458000"/>
  </r>
  <r>
    <x v="9"/>
    <s v="2021-04"/>
    <s v="2021"/>
    <s v="04"/>
    <x v="1"/>
    <s v="Etihad Airways"/>
    <s v="UAE"/>
    <x v="0"/>
    <x v="0"/>
    <n v="110"/>
    <n v="466.73"/>
    <n v="314.39999999999998"/>
    <n v="0.67359999999999998"/>
    <n v="-205.36"/>
    <n v="-0.44"/>
    <n v="0.2"/>
    <n v="0.57499999999999996"/>
    <n v="1.85"/>
    <n v="76.83"/>
    <n v="90.92"/>
    <n v="38000"/>
    <n v="3458000"/>
  </r>
  <r>
    <x v="10"/>
    <s v="2021-07"/>
    <s v="2021"/>
    <s v="07"/>
    <x v="2"/>
    <s v="Etihad Airways"/>
    <s v="UAE"/>
    <x v="0"/>
    <x v="0"/>
    <n v="110"/>
    <n v="2019.93"/>
    <n v="310.94"/>
    <n v="0.15390000000000001"/>
    <n v="-51.47"/>
    <n v="-2.5499999999999998E-2"/>
    <n v="0.86"/>
    <n v="0.33799999999999997"/>
    <n v="0"/>
    <n v="78.97"/>
    <n v="89.92"/>
    <n v="38000"/>
    <n v="3458000"/>
  </r>
  <r>
    <x v="11"/>
    <s v="2021-10"/>
    <s v="2021"/>
    <s v="10"/>
    <x v="2"/>
    <s v="Etihad Airways"/>
    <s v="UAE"/>
    <x v="0"/>
    <x v="0"/>
    <n v="110"/>
    <n v="2075.6799999999998"/>
    <n v="360.5"/>
    <n v="0.17370000000000002"/>
    <n v="150.47999999999999"/>
    <n v="7.2499999999999995E-2"/>
    <n v="0.91"/>
    <n v="0.33299999999999996"/>
    <n v="19.010000000000002"/>
    <n v="86.82"/>
    <n v="104.25"/>
    <n v="38000"/>
    <n v="3458000"/>
  </r>
  <r>
    <x v="12"/>
    <s v="2022-01"/>
    <s v="2022"/>
    <s v="01"/>
    <x v="2"/>
    <s v="Etihad Airways"/>
    <s v="UAE"/>
    <x v="0"/>
    <x v="0"/>
    <n v="110"/>
    <n v="1918.13"/>
    <n v="281.62"/>
    <n v="0.14679999999999999"/>
    <n v="105.52"/>
    <n v="5.5E-2"/>
    <n v="0.74"/>
    <n v="0.1"/>
    <n v="0"/>
    <n v="72.010000000000005"/>
    <n v="81.44"/>
    <n v="38000"/>
    <n v="3458000"/>
  </r>
  <r>
    <x v="13"/>
    <s v="2022-04"/>
    <s v="2022"/>
    <s v="04"/>
    <x v="3"/>
    <s v="Etihad Airways"/>
    <s v="UAE"/>
    <x v="0"/>
    <x v="0"/>
    <n v="110"/>
    <n v="2470.19"/>
    <n v="455.18"/>
    <n v="0.18429999999999999"/>
    <n v="197.05"/>
    <n v="7.980000000000001E-2"/>
    <n v="0.94"/>
    <n v="0.22399999999999998"/>
    <n v="47.16"/>
    <n v="109.53"/>
    <n v="131.63"/>
    <n v="38000"/>
    <n v="3458000"/>
  </r>
  <r>
    <x v="14"/>
    <s v="2022-07"/>
    <s v="2022"/>
    <s v="07"/>
    <x v="3"/>
    <s v="Etihad Airways"/>
    <s v="UAE"/>
    <x v="0"/>
    <x v="0"/>
    <n v="110"/>
    <n v="2457.46"/>
    <n v="326.75"/>
    <n v="0.13300000000000001"/>
    <n v="144.63999999999999"/>
    <n v="5.8899999999999994E-2"/>
    <n v="1.02"/>
    <n v="0.46399999999999997"/>
    <n v="7.56"/>
    <n v="80.69"/>
    <n v="94.49"/>
    <n v="38000"/>
    <n v="3458000"/>
  </r>
  <r>
    <x v="15"/>
    <s v="2022-10"/>
    <s v="2022"/>
    <s v="10"/>
    <x v="3"/>
    <s v="Etihad Airways"/>
    <s v="UAE"/>
    <x v="0"/>
    <x v="0"/>
    <n v="110"/>
    <n v="2614.04"/>
    <n v="365.03"/>
    <n v="0.1396"/>
    <n v="241.07"/>
    <n v="9.2200000000000004E-2"/>
    <n v="1.02"/>
    <n v="0.28100000000000003"/>
    <n v="17.73"/>
    <n v="93.25"/>
    <n v="105.56"/>
    <n v="38000"/>
    <n v="3458000"/>
  </r>
  <r>
    <x v="16"/>
    <s v="2023-01"/>
    <s v="2023"/>
    <s v="01"/>
    <x v="4"/>
    <s v="Etihad Airways"/>
    <s v="UAE"/>
    <x v="0"/>
    <x v="0"/>
    <n v="110"/>
    <n v="2555.13"/>
    <n v="335.88"/>
    <n v="0.13150000000000001"/>
    <n v="130.96"/>
    <n v="5.1299999999999998E-2"/>
    <n v="1"/>
    <n v="0.21899999999999997"/>
    <n v="5.83"/>
    <n v="84.29"/>
    <n v="97.13"/>
    <n v="38000"/>
    <n v="3458000"/>
  </r>
  <r>
    <x v="17"/>
    <s v="2023-04"/>
    <s v="2023"/>
    <s v="04"/>
    <x v="4"/>
    <s v="Etihad Airways"/>
    <s v="UAE"/>
    <x v="0"/>
    <x v="0"/>
    <n v="110"/>
    <n v="2666.09"/>
    <n v="352.61"/>
    <n v="0.1323"/>
    <n v="146.68"/>
    <n v="5.5E-2"/>
    <n v="1.06"/>
    <n v="0.44"/>
    <n v="20.63"/>
    <n v="88.18"/>
    <n v="101.97"/>
    <n v="38000"/>
    <n v="3458000"/>
  </r>
  <r>
    <x v="18"/>
    <s v="2023-07"/>
    <s v="2023"/>
    <s v="07"/>
    <x v="4"/>
    <s v="Etihad Airways"/>
    <s v="UAE"/>
    <x v="0"/>
    <x v="0"/>
    <n v="110"/>
    <n v="2620.29"/>
    <n v="337.22"/>
    <n v="0.12869999999999998"/>
    <n v="132.16999999999999"/>
    <n v="5.04E-2"/>
    <n v="1.19"/>
    <n v="9.6000000000000002E-2"/>
    <n v="2.7"/>
    <n v="85.16"/>
    <n v="97.52"/>
    <n v="38000"/>
    <n v="3458000"/>
  </r>
  <r>
    <x v="19"/>
    <s v="2023-10"/>
    <s v="2023"/>
    <s v="10"/>
    <x v="5"/>
    <s v="Etihad Airways"/>
    <s v="UAE"/>
    <x v="0"/>
    <x v="0"/>
    <n v="110"/>
    <n v="2442.86"/>
    <n v="311.08"/>
    <n v="0.1273"/>
    <n v="172.04"/>
    <n v="7.0400000000000004E-2"/>
    <n v="0.93"/>
    <n v="0.02"/>
    <n v="0"/>
    <n v="78.33"/>
    <n v="89.96"/>
    <n v="38000"/>
    <n v="3458000"/>
  </r>
  <r>
    <x v="20"/>
    <s v="2024-01"/>
    <s v="2024"/>
    <s v="01"/>
    <x v="5"/>
    <s v="Etihad Airways"/>
    <s v="UAE"/>
    <x v="0"/>
    <x v="0"/>
    <n v="110"/>
    <n v="2614.35"/>
    <n v="342.41"/>
    <n v="0.13100000000000001"/>
    <n v="338.02"/>
    <n v="0.1293"/>
    <n v="1.07"/>
    <n v="0.19600000000000001"/>
    <n v="6.73"/>
    <n v="84.61"/>
    <n v="99.02"/>
    <n v="38000"/>
    <n v="3458000"/>
  </r>
  <r>
    <x v="21"/>
    <s v="2024-04"/>
    <s v="2024"/>
    <s v="04"/>
    <x v="5"/>
    <s v="Etihad Airways"/>
    <s v="UAE"/>
    <x v="0"/>
    <x v="0"/>
    <n v="110"/>
    <n v="2725.7"/>
    <n v="351.96"/>
    <n v="0.12909999999999999"/>
    <n v="125.78"/>
    <n v="4.6100000000000002E-2"/>
    <n v="1.1299999999999999"/>
    <n v="0.16399999999999998"/>
    <n v="7.55"/>
    <n v="84.06"/>
    <n v="101.78"/>
    <n v="38000"/>
    <n v="3458000"/>
  </r>
  <r>
    <x v="22"/>
    <s v="2024-07"/>
    <s v="2024"/>
    <s v="07"/>
    <x v="5"/>
    <s v="Etihad Airways"/>
    <s v="UAE"/>
    <x v="0"/>
    <x v="0"/>
    <n v="110"/>
    <n v="2549.04"/>
    <n v="324.98"/>
    <n v="0.1275"/>
    <n v="206.67"/>
    <n v="8.1099999999999992E-2"/>
    <n v="1.08"/>
    <n v="0.29499999999999998"/>
    <n v="4.24"/>
    <n v="80.400000000000006"/>
    <n v="93.98"/>
    <n v="38000"/>
    <n v="3458000"/>
  </r>
  <r>
    <x v="23"/>
    <s v="2024-10"/>
    <s v="2024"/>
    <s v="10"/>
    <x v="5"/>
    <s v="Etihad Airways"/>
    <s v="UAE"/>
    <x v="0"/>
    <x v="0"/>
    <n v="110"/>
    <n v="2750.04"/>
    <n v="389.09"/>
    <n v="0.14150000000000001"/>
    <n v="117.02"/>
    <n v="4.2599999999999999E-2"/>
    <n v="1.21"/>
    <n v="3.3000000000000002E-2"/>
    <n v="3.21"/>
    <n v="94.78"/>
    <n v="112.52"/>
    <n v="38000"/>
    <n v="3458000"/>
  </r>
  <r>
    <x v="24"/>
    <s v="2025-01"/>
    <s v="2025"/>
    <s v="01"/>
    <x v="6"/>
    <s v="Etihad Airways"/>
    <s v="UAE"/>
    <x v="0"/>
    <x v="0"/>
    <n v="110"/>
    <n v="2565.4"/>
    <n v="351.13"/>
    <n v="0.13689999999999999"/>
    <n v="154.4"/>
    <n v="6.0199999999999997E-2"/>
    <n v="1.17"/>
    <n v="0.47"/>
    <n v="21.16"/>
    <n v="85.13"/>
    <n v="101.54"/>
    <n v="38000"/>
    <n v="3458000"/>
  </r>
  <r>
    <x v="25"/>
    <s v="2025-04"/>
    <s v="2025"/>
    <s v="04"/>
    <x v="6"/>
    <s v="Etihad Airways"/>
    <s v="UAE"/>
    <x v="0"/>
    <x v="0"/>
    <n v="110"/>
    <n v="2575.9299999999998"/>
    <n v="416.45"/>
    <n v="0.16170000000000001"/>
    <n v="348.33"/>
    <n v="0.13519999999999999"/>
    <n v="1.1299999999999999"/>
    <n v="0.61899999999999999"/>
    <n v="87.16"/>
    <n v="101.77"/>
    <n v="120.43"/>
    <n v="38000"/>
    <n v="3458000"/>
  </r>
  <r>
    <x v="26"/>
    <s v="2025-07"/>
    <s v="2025"/>
    <s v="07"/>
    <x v="6"/>
    <s v="Etihad Airways"/>
    <s v="UAE"/>
    <x v="0"/>
    <x v="0"/>
    <n v="110"/>
    <n v="2656.07"/>
    <n v="388.06"/>
    <n v="0.14610000000000001"/>
    <n v="126.88"/>
    <n v="4.7800000000000002E-2"/>
    <n v="1.1399999999999999"/>
    <n v="0.63700000000000001"/>
    <n v="61.03"/>
    <n v="93.24"/>
    <n v="112.22"/>
    <n v="38000"/>
    <n v="3458000"/>
  </r>
  <r>
    <x v="27"/>
    <s v="2025-10"/>
    <s v="2025"/>
    <s v="10"/>
    <x v="6"/>
    <s v="Etihad Airways"/>
    <s v="UAE"/>
    <x v="0"/>
    <x v="0"/>
    <n v="110"/>
    <n v="2493.5"/>
    <n v="386.15"/>
    <n v="0.15490000000000001"/>
    <n v="297.41000000000003"/>
    <n v="0.1193"/>
    <n v="0.98"/>
    <n v="0.29399999999999998"/>
    <n v="27.34"/>
    <n v="99.34"/>
    <n v="111.67"/>
    <n v="38000"/>
    <n v="3458000"/>
  </r>
  <r>
    <x v="28"/>
    <s v="2026-01"/>
    <s v="2026"/>
    <s v="01"/>
    <x v="7"/>
    <s v="Etihad Airways"/>
    <s v="UAE"/>
    <x v="0"/>
    <x v="0"/>
    <n v="110"/>
    <n v="1328.97"/>
    <n v="507.63"/>
    <n v="0.38200000000000001"/>
    <n v="-241.72"/>
    <n v="-0.18190000000000001"/>
    <n v="0.59"/>
    <n v="2.8999999999999998E-2"/>
    <n v="9.2899999999999991"/>
    <n v="130.88"/>
    <n v="146.80000000000001"/>
    <n v="38000"/>
    <n v="3458000"/>
  </r>
  <r>
    <x v="0"/>
    <s v="2019-01"/>
    <s v="2019"/>
    <s v="01"/>
    <x v="0"/>
    <s v="flydubai"/>
    <s v="UAE"/>
    <x v="0"/>
    <x v="1"/>
    <n v="87"/>
    <n v="942.04"/>
    <n v="122.16"/>
    <n v="0.12970000000000001"/>
    <n v="97.01"/>
    <n v="0.10300000000000001"/>
    <n v="0.91"/>
    <n v="0.13600000000000001"/>
    <n v="0"/>
    <n v="63"/>
    <n v="74.58"/>
    <n v="18000"/>
    <n v="1638000"/>
  </r>
  <r>
    <x v="1"/>
    <s v="2019-04"/>
    <s v="2019"/>
    <s v="04"/>
    <x v="0"/>
    <s v="flydubai"/>
    <s v="UAE"/>
    <x v="0"/>
    <x v="1"/>
    <n v="87"/>
    <n v="923.88"/>
    <n v="120.13"/>
    <n v="0.13"/>
    <n v="55.77"/>
    <n v="6.0400000000000002E-2"/>
    <n v="0.78"/>
    <n v="0.27300000000000002"/>
    <n v="0"/>
    <n v="64.790000000000006"/>
    <n v="73.34"/>
    <n v="18000"/>
    <n v="1638000"/>
  </r>
  <r>
    <x v="2"/>
    <s v="2019-07"/>
    <s v="2019"/>
    <s v="07"/>
    <x v="0"/>
    <s v="flydubai"/>
    <s v="UAE"/>
    <x v="0"/>
    <x v="1"/>
    <n v="87"/>
    <n v="1025.8399999999999"/>
    <n v="116.48"/>
    <n v="0.11349999999999999"/>
    <n v="94.75"/>
    <n v="9.2399999999999996E-2"/>
    <n v="0.87"/>
    <n v="0.311"/>
    <n v="0"/>
    <n v="60.46"/>
    <n v="71.11"/>
    <n v="18000"/>
    <n v="1638000"/>
  </r>
  <r>
    <x v="3"/>
    <s v="2019-10"/>
    <s v="2019"/>
    <s v="10"/>
    <x v="0"/>
    <s v="flydubai"/>
    <s v="UAE"/>
    <x v="0"/>
    <x v="1"/>
    <n v="87"/>
    <n v="922.04"/>
    <n v="126.08"/>
    <n v="0.13669999999999999"/>
    <n v="39.65"/>
    <n v="4.2999999999999997E-2"/>
    <n v="0.84"/>
    <n v="0.124"/>
    <n v="0"/>
    <n v="65.66"/>
    <n v="76.97"/>
    <n v="18000"/>
    <n v="1638000"/>
  </r>
  <r>
    <x v="4"/>
    <s v="2020-01"/>
    <s v="2020"/>
    <s v="01"/>
    <x v="0"/>
    <s v="flydubai"/>
    <s v="UAE"/>
    <x v="0"/>
    <x v="1"/>
    <n v="87"/>
    <n v="951.81"/>
    <n v="123.47"/>
    <n v="0.12970000000000001"/>
    <n v="60.07"/>
    <n v="6.3099999999999989E-2"/>
    <n v="0.92"/>
    <n v="0.16800000000000001"/>
    <n v="0"/>
    <n v="66.66"/>
    <n v="75.38"/>
    <n v="18000"/>
    <n v="1638000"/>
  </r>
  <r>
    <x v="5"/>
    <s v="2020-04"/>
    <s v="2020"/>
    <s v="04"/>
    <x v="1"/>
    <s v="flydubai"/>
    <s v="UAE"/>
    <x v="0"/>
    <x v="1"/>
    <n v="87"/>
    <n v="227.82"/>
    <n v="38.799999999999997"/>
    <n v="0.17030000000000001"/>
    <n v="-89.15"/>
    <n v="-0.39130000000000004"/>
    <n v="0.19"/>
    <n v="0.22899999999999998"/>
    <n v="0"/>
    <n v="20.57"/>
    <n v="23.69"/>
    <n v="18000"/>
    <n v="1638000"/>
  </r>
  <r>
    <x v="6"/>
    <s v="2020-07"/>
    <s v="2020"/>
    <s v="07"/>
    <x v="1"/>
    <s v="flydubai"/>
    <s v="UAE"/>
    <x v="0"/>
    <x v="1"/>
    <n v="87"/>
    <n v="307.56"/>
    <n v="82.6"/>
    <n v="0.26860000000000001"/>
    <n v="-111.36"/>
    <n v="-0.36210000000000003"/>
    <n v="0.28999999999999998"/>
    <n v="6.0999999999999999E-2"/>
    <n v="0"/>
    <n v="44.05"/>
    <n v="50.43"/>
    <n v="18000"/>
    <n v="1638000"/>
  </r>
  <r>
    <x v="7"/>
    <s v="2020-10"/>
    <s v="2020"/>
    <s v="10"/>
    <x v="1"/>
    <s v="flydubai"/>
    <s v="UAE"/>
    <x v="0"/>
    <x v="1"/>
    <n v="87"/>
    <n v="187.25"/>
    <n v="74.790000000000006"/>
    <n v="0.39939999999999998"/>
    <n v="-78.11"/>
    <n v="-0.41710000000000003"/>
    <n v="0.16"/>
    <n v="0.36299999999999999"/>
    <n v="0"/>
    <n v="39.950000000000003"/>
    <n v="45.66"/>
    <n v="18000"/>
    <n v="1638000"/>
  </r>
  <r>
    <x v="8"/>
    <s v="2021-01"/>
    <s v="2021"/>
    <s v="01"/>
    <x v="1"/>
    <s v="flydubai"/>
    <s v="UAE"/>
    <x v="0"/>
    <x v="1"/>
    <n v="87"/>
    <n v="213.47"/>
    <n v="140.49"/>
    <n v="0.65810000000000002"/>
    <n v="-63.86"/>
    <n v="-0.29920000000000002"/>
    <n v="0.2"/>
    <n v="0.17600000000000002"/>
    <n v="0"/>
    <n v="75.489999999999995"/>
    <n v="85.77"/>
    <n v="18000"/>
    <n v="1638000"/>
  </r>
  <r>
    <x v="9"/>
    <s v="2021-04"/>
    <s v="2021"/>
    <s v="04"/>
    <x v="1"/>
    <s v="flydubai"/>
    <s v="UAE"/>
    <x v="0"/>
    <x v="1"/>
    <n v="87"/>
    <n v="211.99"/>
    <n v="148.93"/>
    <n v="0.70250000000000001"/>
    <n v="-90.73"/>
    <n v="-0.42799999999999999"/>
    <n v="0.18"/>
    <n v="0.311"/>
    <n v="0.47"/>
    <n v="76.83"/>
    <n v="90.92"/>
    <n v="18000"/>
    <n v="1638000"/>
  </r>
  <r>
    <x v="10"/>
    <s v="2021-07"/>
    <s v="2021"/>
    <s v="07"/>
    <x v="2"/>
    <s v="flydubai"/>
    <s v="UAE"/>
    <x v="0"/>
    <x v="1"/>
    <n v="87"/>
    <n v="777.98"/>
    <n v="147.29"/>
    <n v="0.1893"/>
    <n v="34.200000000000003"/>
    <n v="4.4000000000000004E-2"/>
    <n v="0.62"/>
    <n v="9.0999999999999998E-2"/>
    <n v="0"/>
    <n v="78.97"/>
    <n v="89.92"/>
    <n v="18000"/>
    <n v="1638000"/>
  </r>
  <r>
    <x v="11"/>
    <s v="2021-10"/>
    <s v="2021"/>
    <s v="10"/>
    <x v="2"/>
    <s v="flydubai"/>
    <s v="UAE"/>
    <x v="0"/>
    <x v="1"/>
    <n v="87"/>
    <n v="756.39"/>
    <n v="170.76"/>
    <n v="0.22579999999999997"/>
    <n v="54.85"/>
    <n v="7.2499999999999995E-2"/>
    <n v="0.7"/>
    <n v="0.129"/>
    <n v="3.49"/>
    <n v="86.82"/>
    <n v="104.25"/>
    <n v="18000"/>
    <n v="1638000"/>
  </r>
  <r>
    <x v="12"/>
    <s v="2022-01"/>
    <s v="2022"/>
    <s v="01"/>
    <x v="2"/>
    <s v="flydubai"/>
    <s v="UAE"/>
    <x v="0"/>
    <x v="1"/>
    <n v="87"/>
    <n v="637.94000000000005"/>
    <n v="133.4"/>
    <n v="0.20910000000000001"/>
    <n v="40.840000000000003"/>
    <n v="6.4000000000000001E-2"/>
    <n v="0.52"/>
    <n v="0.10300000000000001"/>
    <n v="0"/>
    <n v="72.010000000000005"/>
    <n v="81.44"/>
    <n v="18000"/>
    <n v="1638000"/>
  </r>
  <r>
    <x v="13"/>
    <s v="2022-04"/>
    <s v="2022"/>
    <s v="04"/>
    <x v="3"/>
    <s v="flydubai"/>
    <s v="UAE"/>
    <x v="0"/>
    <x v="1"/>
    <n v="87"/>
    <n v="968.37"/>
    <n v="215.61"/>
    <n v="0.22270000000000001"/>
    <n v="34.090000000000003"/>
    <n v="3.5200000000000002E-2"/>
    <n v="0.81"/>
    <n v="0.1"/>
    <n v="9.9700000000000006"/>
    <n v="109.53"/>
    <n v="131.63"/>
    <n v="18000"/>
    <n v="1638000"/>
  </r>
  <r>
    <x v="14"/>
    <s v="2022-07"/>
    <s v="2022"/>
    <s v="07"/>
    <x v="3"/>
    <s v="flydubai"/>
    <s v="UAE"/>
    <x v="0"/>
    <x v="1"/>
    <n v="87"/>
    <n v="1034.42"/>
    <n v="154.77000000000001"/>
    <n v="0.14960000000000001"/>
    <n v="31.03"/>
    <n v="0.03"/>
    <n v="1"/>
    <n v="0.16399999999999998"/>
    <n v="1.27"/>
    <n v="80.69"/>
    <n v="94.49"/>
    <n v="18000"/>
    <n v="1638000"/>
  </r>
  <r>
    <x v="15"/>
    <s v="2022-10"/>
    <s v="2022"/>
    <s v="10"/>
    <x v="3"/>
    <s v="flydubai"/>
    <s v="UAE"/>
    <x v="0"/>
    <x v="1"/>
    <n v="87"/>
    <n v="1011.1"/>
    <n v="172.91"/>
    <n v="0.17100000000000001"/>
    <n v="97.07"/>
    <n v="9.6000000000000002E-2"/>
    <n v="0.9"/>
    <n v="0.32"/>
    <n v="9.57"/>
    <n v="93.25"/>
    <n v="105.56"/>
    <n v="18000"/>
    <n v="1638000"/>
  </r>
  <r>
    <x v="16"/>
    <s v="2023-01"/>
    <s v="2023"/>
    <s v="01"/>
    <x v="4"/>
    <s v="flydubai"/>
    <s v="UAE"/>
    <x v="0"/>
    <x v="1"/>
    <n v="87"/>
    <n v="935.35"/>
    <n v="159.1"/>
    <n v="0.17010000000000003"/>
    <n v="73.23"/>
    <n v="7.8299999999999995E-2"/>
    <n v="0.84"/>
    <n v="0.34799999999999998"/>
    <n v="4.3899999999999997"/>
    <n v="84.29"/>
    <n v="97.13"/>
    <n v="18000"/>
    <n v="1638000"/>
  </r>
  <r>
    <x v="17"/>
    <s v="2023-04"/>
    <s v="2023"/>
    <s v="04"/>
    <x v="4"/>
    <s v="flydubai"/>
    <s v="UAE"/>
    <x v="0"/>
    <x v="1"/>
    <n v="87"/>
    <n v="979.16"/>
    <n v="167.03"/>
    <n v="0.17059999999999997"/>
    <n v="41.33"/>
    <n v="4.2199999999999994E-2"/>
    <n v="0.84"/>
    <n v="0.35299999999999998"/>
    <n v="7.84"/>
    <n v="88.18"/>
    <n v="101.97"/>
    <n v="18000"/>
    <n v="1638000"/>
  </r>
  <r>
    <x v="18"/>
    <s v="2023-07"/>
    <s v="2023"/>
    <s v="07"/>
    <x v="4"/>
    <s v="flydubai"/>
    <s v="UAE"/>
    <x v="0"/>
    <x v="1"/>
    <n v="87"/>
    <n v="932.17"/>
    <n v="159.74"/>
    <n v="0.1714"/>
    <n v="71.58"/>
    <n v="7.6799999999999993E-2"/>
    <n v="0.81"/>
    <n v="0.10400000000000001"/>
    <n v="1.39"/>
    <n v="85.16"/>
    <n v="97.52"/>
    <n v="18000"/>
    <n v="1638000"/>
  </r>
  <r>
    <x v="19"/>
    <s v="2023-10"/>
    <s v="2023"/>
    <s v="10"/>
    <x v="5"/>
    <s v="flydubai"/>
    <s v="UAE"/>
    <x v="0"/>
    <x v="1"/>
    <n v="87"/>
    <n v="945.7"/>
    <n v="147.35"/>
    <n v="0.15579999999999999"/>
    <n v="115.13"/>
    <n v="0.1217"/>
    <n v="0.9"/>
    <n v="0.253"/>
    <n v="0"/>
    <n v="78.33"/>
    <n v="89.96"/>
    <n v="18000"/>
    <n v="1638000"/>
  </r>
  <r>
    <x v="20"/>
    <s v="2024-01"/>
    <s v="2024"/>
    <s v="01"/>
    <x v="5"/>
    <s v="flydubai"/>
    <s v="UAE"/>
    <x v="0"/>
    <x v="1"/>
    <n v="87"/>
    <n v="986.32"/>
    <n v="162.19"/>
    <n v="0.16440000000000002"/>
    <n v="92.18"/>
    <n v="9.35E-2"/>
    <n v="0.8"/>
    <n v="0.29399999999999998"/>
    <n v="4.78"/>
    <n v="84.61"/>
    <n v="99.02"/>
    <n v="18000"/>
    <n v="1638000"/>
  </r>
  <r>
    <x v="21"/>
    <s v="2024-04"/>
    <s v="2024"/>
    <s v="04"/>
    <x v="5"/>
    <s v="flydubai"/>
    <s v="UAE"/>
    <x v="0"/>
    <x v="1"/>
    <n v="87"/>
    <n v="1025.57"/>
    <n v="166.72"/>
    <n v="0.16260000000000002"/>
    <n v="64.39"/>
    <n v="6.2800000000000009E-2"/>
    <n v="1"/>
    <n v="0.39899999999999997"/>
    <n v="8.7100000000000009"/>
    <n v="84.06"/>
    <n v="101.78"/>
    <n v="18000"/>
    <n v="1638000"/>
  </r>
  <r>
    <x v="22"/>
    <s v="2024-07"/>
    <s v="2024"/>
    <s v="07"/>
    <x v="5"/>
    <s v="flydubai"/>
    <s v="UAE"/>
    <x v="0"/>
    <x v="1"/>
    <n v="87"/>
    <n v="919.98"/>
    <n v="153.94"/>
    <n v="0.1673"/>
    <n v="122"/>
    <n v="0.1326"/>
    <n v="0.85"/>
    <n v="0.21299999999999999"/>
    <n v="1.45"/>
    <n v="80.400000000000006"/>
    <n v="93.98"/>
    <n v="18000"/>
    <n v="1638000"/>
  </r>
  <r>
    <x v="23"/>
    <s v="2024-10"/>
    <s v="2024"/>
    <s v="10"/>
    <x v="5"/>
    <s v="flydubai"/>
    <s v="UAE"/>
    <x v="0"/>
    <x v="1"/>
    <n v="87"/>
    <n v="945.07"/>
    <n v="184.31"/>
    <n v="0.19500000000000001"/>
    <n v="97.32"/>
    <n v="0.10300000000000001"/>
    <n v="0.9"/>
    <n v="6.2E-2"/>
    <n v="2.86"/>
    <n v="94.78"/>
    <n v="112.52"/>
    <n v="18000"/>
    <n v="1638000"/>
  </r>
  <r>
    <x v="24"/>
    <s v="2025-01"/>
    <s v="2025"/>
    <s v="01"/>
    <x v="6"/>
    <s v="flydubai"/>
    <s v="UAE"/>
    <x v="0"/>
    <x v="1"/>
    <n v="87"/>
    <n v="968.63"/>
    <n v="166.32"/>
    <n v="0.17170000000000002"/>
    <n v="101.73"/>
    <n v="0.105"/>
    <n v="0.78"/>
    <n v="0.36099999999999999"/>
    <n v="7.7"/>
    <n v="85.13"/>
    <n v="101.54"/>
    <n v="18000"/>
    <n v="1638000"/>
  </r>
  <r>
    <x v="25"/>
    <s v="2025-04"/>
    <s v="2025"/>
    <s v="04"/>
    <x v="6"/>
    <s v="flydubai"/>
    <s v="UAE"/>
    <x v="0"/>
    <x v="1"/>
    <n v="87"/>
    <n v="1020.05"/>
    <n v="197.26"/>
    <n v="0.19339999999999999"/>
    <n v="103.28"/>
    <n v="0.1012"/>
    <n v="0.84"/>
    <n v="0.376"/>
    <n v="25.08"/>
    <n v="101.77"/>
    <n v="120.43"/>
    <n v="18000"/>
    <n v="1638000"/>
  </r>
  <r>
    <x v="26"/>
    <s v="2025-07"/>
    <s v="2025"/>
    <s v="07"/>
    <x v="6"/>
    <s v="flydubai"/>
    <s v="UAE"/>
    <x v="0"/>
    <x v="1"/>
    <n v="87"/>
    <n v="1001.92"/>
    <n v="183.82"/>
    <n v="0.18350000000000002"/>
    <n v="42.94"/>
    <n v="4.2900000000000001E-2"/>
    <n v="0.9"/>
    <n v="0.09"/>
    <n v="4.08"/>
    <n v="93.24"/>
    <n v="112.22"/>
    <n v="18000"/>
    <n v="1638000"/>
  </r>
  <r>
    <x v="27"/>
    <s v="2025-10"/>
    <s v="2025"/>
    <s v="10"/>
    <x v="6"/>
    <s v="flydubai"/>
    <s v="UAE"/>
    <x v="0"/>
    <x v="1"/>
    <n v="87"/>
    <n v="919.92"/>
    <n v="182.92"/>
    <n v="0.19879999999999998"/>
    <n v="54.51"/>
    <n v="5.9299999999999999E-2"/>
    <n v="0.8"/>
    <n v="0.35700000000000004"/>
    <n v="15.72"/>
    <n v="99.34"/>
    <n v="111.67"/>
    <n v="18000"/>
    <n v="1638000"/>
  </r>
  <r>
    <x v="28"/>
    <s v="2026-01"/>
    <s v="2026"/>
    <s v="01"/>
    <x v="7"/>
    <s v="flydubai"/>
    <s v="UAE"/>
    <x v="0"/>
    <x v="1"/>
    <n v="87"/>
    <n v="482.38"/>
    <n v="240.46"/>
    <n v="0.4985"/>
    <n v="-54.1"/>
    <n v="-0.11220000000000001"/>
    <n v="0.47"/>
    <n v="0.27399999999999997"/>
    <n v="41.58"/>
    <n v="130.88"/>
    <n v="146.80000000000001"/>
    <n v="18000"/>
    <n v="1638000"/>
  </r>
  <r>
    <x v="0"/>
    <s v="2019-01"/>
    <s v="2019"/>
    <s v="01"/>
    <x v="0"/>
    <s v="Air Arabia"/>
    <s v="UAE"/>
    <x v="0"/>
    <x v="1"/>
    <n v="65"/>
    <n v="422.41"/>
    <n v="81.44"/>
    <n v="0.1928"/>
    <n v="54.99"/>
    <n v="0.13019999999999998"/>
    <n v="0.69"/>
    <n v="0.28100000000000003"/>
    <n v="0"/>
    <n v="63"/>
    <n v="74.58"/>
    <n v="12000"/>
    <n v="1092000"/>
  </r>
  <r>
    <x v="1"/>
    <s v="2019-04"/>
    <s v="2019"/>
    <s v="04"/>
    <x v="0"/>
    <s v="Air Arabia"/>
    <s v="UAE"/>
    <x v="0"/>
    <x v="1"/>
    <n v="65"/>
    <n v="380.93"/>
    <n v="80.09"/>
    <n v="0.2102"/>
    <n v="35"/>
    <n v="9.1899999999999996E-2"/>
    <n v="0.6"/>
    <n v="0.23300000000000001"/>
    <n v="0"/>
    <n v="64.790000000000006"/>
    <n v="73.34"/>
    <n v="12000"/>
    <n v="1092000"/>
  </r>
  <r>
    <x v="2"/>
    <s v="2019-07"/>
    <s v="2019"/>
    <s v="07"/>
    <x v="0"/>
    <s v="Air Arabia"/>
    <s v="UAE"/>
    <x v="0"/>
    <x v="1"/>
    <n v="65"/>
    <n v="402.49"/>
    <n v="77.650000000000006"/>
    <n v="0.19289999999999999"/>
    <n v="52.59"/>
    <n v="0.13070000000000001"/>
    <n v="0.68"/>
    <n v="9.4E-2"/>
    <n v="0"/>
    <n v="60.46"/>
    <n v="71.11"/>
    <n v="12000"/>
    <n v="1092000"/>
  </r>
  <r>
    <x v="3"/>
    <s v="2019-10"/>
    <s v="2019"/>
    <s v="10"/>
    <x v="0"/>
    <s v="Air Arabia"/>
    <s v="UAE"/>
    <x v="0"/>
    <x v="1"/>
    <n v="65"/>
    <n v="407.71"/>
    <n v="84.05"/>
    <n v="0.20620000000000002"/>
    <n v="55.43"/>
    <n v="0.13600000000000001"/>
    <n v="0.66"/>
    <n v="0.33100000000000002"/>
    <n v="0"/>
    <n v="65.66"/>
    <n v="76.97"/>
    <n v="12000"/>
    <n v="1092000"/>
  </r>
  <r>
    <x v="4"/>
    <s v="2020-01"/>
    <s v="2020"/>
    <s v="01"/>
    <x v="0"/>
    <s v="Air Arabia"/>
    <s v="UAE"/>
    <x v="0"/>
    <x v="1"/>
    <n v="65"/>
    <n v="399.41"/>
    <n v="82.31"/>
    <n v="0.20610000000000001"/>
    <n v="31.04"/>
    <n v="7.7699999999999991E-2"/>
    <n v="0.61"/>
    <n v="5.7999999999999996E-2"/>
    <n v="0"/>
    <n v="66.66"/>
    <n v="75.38"/>
    <n v="12000"/>
    <n v="1092000"/>
  </r>
  <r>
    <x v="5"/>
    <s v="2020-04"/>
    <s v="2020"/>
    <s v="04"/>
    <x v="1"/>
    <s v="Air Arabia"/>
    <s v="UAE"/>
    <x v="0"/>
    <x v="1"/>
    <n v="65"/>
    <n v="133.99"/>
    <n v="25.87"/>
    <n v="0.19309999999999999"/>
    <n v="-48.58"/>
    <n v="-0.36259999999999998"/>
    <n v="0.21"/>
    <n v="0.316"/>
    <n v="0"/>
    <n v="20.57"/>
    <n v="23.69"/>
    <n v="12000"/>
    <n v="1092000"/>
  </r>
  <r>
    <x v="6"/>
    <s v="2020-07"/>
    <s v="2020"/>
    <s v="07"/>
    <x v="1"/>
    <s v="Air Arabia"/>
    <s v="UAE"/>
    <x v="0"/>
    <x v="1"/>
    <n v="65"/>
    <n v="102.15"/>
    <n v="55.07"/>
    <n v="0.53909999999999991"/>
    <n v="-36.72"/>
    <n v="-0.35950000000000004"/>
    <n v="0.17"/>
    <n v="0.33899999999999997"/>
    <n v="0"/>
    <n v="44.05"/>
    <n v="50.43"/>
    <n v="12000"/>
    <n v="1092000"/>
  </r>
  <r>
    <x v="7"/>
    <s v="2020-10"/>
    <s v="2020"/>
    <s v="10"/>
    <x v="1"/>
    <s v="Air Arabia"/>
    <s v="UAE"/>
    <x v="0"/>
    <x v="1"/>
    <n v="65"/>
    <n v="138.13999999999999"/>
    <n v="49.86"/>
    <n v="0.36090000000000005"/>
    <n v="-40.03"/>
    <n v="-0.28970000000000001"/>
    <n v="0.23"/>
    <n v="0.16399999999999998"/>
    <n v="0"/>
    <n v="39.950000000000003"/>
    <n v="45.66"/>
    <n v="12000"/>
    <n v="1092000"/>
  </r>
  <r>
    <x v="8"/>
    <s v="2021-01"/>
    <s v="2021"/>
    <s v="01"/>
    <x v="1"/>
    <s v="Air Arabia"/>
    <s v="UAE"/>
    <x v="0"/>
    <x v="1"/>
    <n v="65"/>
    <n v="67.97"/>
    <n v="93.66"/>
    <n v="1.3780000000000001"/>
    <n v="-28.79"/>
    <n v="-0.42349999999999999"/>
    <n v="0.11"/>
    <n v="0.09"/>
    <n v="0"/>
    <n v="75.489999999999995"/>
    <n v="85.77"/>
    <n v="12000"/>
    <n v="1092000"/>
  </r>
  <r>
    <x v="9"/>
    <s v="2021-04"/>
    <s v="2021"/>
    <s v="04"/>
    <x v="1"/>
    <s v="Air Arabia"/>
    <s v="UAE"/>
    <x v="0"/>
    <x v="1"/>
    <n v="65"/>
    <n v="132.53"/>
    <n v="99.28"/>
    <n v="0.74909999999999999"/>
    <n v="-36.32"/>
    <n v="-0.27399999999999997"/>
    <n v="0.2"/>
    <n v="0.14800000000000002"/>
    <n v="0.15"/>
    <n v="76.83"/>
    <n v="90.92"/>
    <n v="12000"/>
    <n v="1092000"/>
  </r>
  <r>
    <x v="10"/>
    <s v="2021-07"/>
    <s v="2021"/>
    <s v="07"/>
    <x v="2"/>
    <s v="Air Arabia"/>
    <s v="UAE"/>
    <x v="0"/>
    <x v="1"/>
    <n v="65"/>
    <n v="316.8"/>
    <n v="98.19"/>
    <n v="0.31"/>
    <n v="18.100000000000001"/>
    <n v="5.7099999999999998E-2"/>
    <n v="0.53"/>
    <n v="0.26"/>
    <n v="0"/>
    <n v="78.97"/>
    <n v="89.92"/>
    <n v="12000"/>
    <n v="1092000"/>
  </r>
  <r>
    <x v="11"/>
    <s v="2021-10"/>
    <s v="2021"/>
    <s v="10"/>
    <x v="2"/>
    <s v="Air Arabia"/>
    <s v="UAE"/>
    <x v="0"/>
    <x v="1"/>
    <n v="65"/>
    <n v="272.42"/>
    <n v="113.84"/>
    <n v="0.41789999999999999"/>
    <n v="15.36"/>
    <n v="5.6399999999999999E-2"/>
    <n v="0.45"/>
    <n v="0.34200000000000003"/>
    <n v="6.16"/>
    <n v="86.82"/>
    <n v="104.25"/>
    <n v="12000"/>
    <n v="1092000"/>
  </r>
  <r>
    <x v="12"/>
    <s v="2022-01"/>
    <s v="2022"/>
    <s v="01"/>
    <x v="2"/>
    <s v="Air Arabia"/>
    <s v="UAE"/>
    <x v="0"/>
    <x v="1"/>
    <n v="65"/>
    <n v="272.61"/>
    <n v="88.93"/>
    <n v="0.32619999999999999"/>
    <n v="10.62"/>
    <n v="3.9E-2"/>
    <n v="0.47"/>
    <n v="0.14000000000000001"/>
    <n v="0"/>
    <n v="72.010000000000005"/>
    <n v="81.44"/>
    <n v="12000"/>
    <n v="1092000"/>
  </r>
  <r>
    <x v="13"/>
    <s v="2022-04"/>
    <s v="2022"/>
    <s v="04"/>
    <x v="3"/>
    <s v="Air Arabia"/>
    <s v="UAE"/>
    <x v="0"/>
    <x v="1"/>
    <n v="65"/>
    <n v="417.34"/>
    <n v="143.74"/>
    <n v="0.34439999999999998"/>
    <n v="16.989999999999998"/>
    <n v="4.07E-2"/>
    <n v="0.63"/>
    <n v="0.22"/>
    <n v="14.63"/>
    <n v="109.53"/>
    <n v="131.63"/>
    <n v="12000"/>
    <n v="1092000"/>
  </r>
  <r>
    <x v="14"/>
    <s v="2022-07"/>
    <s v="2022"/>
    <s v="07"/>
    <x v="3"/>
    <s v="Air Arabia"/>
    <s v="UAE"/>
    <x v="0"/>
    <x v="1"/>
    <n v="65"/>
    <n v="431.6"/>
    <n v="103.18"/>
    <n v="0.23910000000000001"/>
    <n v="9.9700000000000006"/>
    <n v="2.3099999999999999E-2"/>
    <n v="0.75"/>
    <n v="0.32"/>
    <n v="1.65"/>
    <n v="80.69"/>
    <n v="94.49"/>
    <n v="12000"/>
    <n v="1092000"/>
  </r>
  <r>
    <x v="15"/>
    <s v="2022-10"/>
    <s v="2022"/>
    <s v="10"/>
    <x v="3"/>
    <s v="Air Arabia"/>
    <s v="UAE"/>
    <x v="0"/>
    <x v="1"/>
    <n v="65"/>
    <n v="388.78"/>
    <n v="115.27"/>
    <n v="0.29649999999999999"/>
    <n v="18.79"/>
    <n v="4.8300000000000003E-2"/>
    <n v="0.61"/>
    <n v="0.35600000000000004"/>
    <n v="7.09"/>
    <n v="93.25"/>
    <n v="105.56"/>
    <n v="12000"/>
    <n v="1092000"/>
  </r>
  <r>
    <x v="16"/>
    <s v="2023-01"/>
    <s v="2023"/>
    <s v="01"/>
    <x v="4"/>
    <s v="Air Arabia"/>
    <s v="UAE"/>
    <x v="0"/>
    <x v="1"/>
    <n v="65"/>
    <n v="380.93"/>
    <n v="106.07"/>
    <n v="0.27839999999999998"/>
    <n v="36.119999999999997"/>
    <n v="9.4800000000000009E-2"/>
    <n v="0.55000000000000004"/>
    <n v="0.09"/>
    <n v="0.76"/>
    <n v="84.29"/>
    <n v="97.13"/>
    <n v="12000"/>
    <n v="1092000"/>
  </r>
  <r>
    <x v="17"/>
    <s v="2023-04"/>
    <s v="2023"/>
    <s v="04"/>
    <x v="4"/>
    <s v="Air Arabia"/>
    <s v="UAE"/>
    <x v="0"/>
    <x v="1"/>
    <n v="65"/>
    <n v="415.91"/>
    <n v="111.35"/>
    <n v="0.26769999999999999"/>
    <n v="26.38"/>
    <n v="6.3399999999999998E-2"/>
    <n v="0.6"/>
    <n v="0.107"/>
    <n v="1.58"/>
    <n v="88.18"/>
    <n v="101.97"/>
    <n v="12000"/>
    <n v="1092000"/>
  </r>
  <r>
    <x v="18"/>
    <s v="2023-07"/>
    <s v="2023"/>
    <s v="07"/>
    <x v="4"/>
    <s v="Air Arabia"/>
    <s v="UAE"/>
    <x v="0"/>
    <x v="1"/>
    <n v="65"/>
    <n v="390.85"/>
    <n v="106.49"/>
    <n v="0.27250000000000002"/>
    <n v="45.72"/>
    <n v="0.11699999999999999"/>
    <n v="0.63"/>
    <n v="0.307"/>
    <n v="2.73"/>
    <n v="85.16"/>
    <n v="97.52"/>
    <n v="12000"/>
    <n v="1092000"/>
  </r>
  <r>
    <x v="19"/>
    <s v="2023-10"/>
    <s v="2023"/>
    <s v="10"/>
    <x v="5"/>
    <s v="Air Arabia"/>
    <s v="UAE"/>
    <x v="0"/>
    <x v="1"/>
    <n v="65"/>
    <n v="399.23"/>
    <n v="98.24"/>
    <n v="0.24609999999999999"/>
    <n v="20.49"/>
    <n v="5.1299999999999998E-2"/>
    <n v="0.67"/>
    <n v="9.9000000000000005E-2"/>
    <n v="0"/>
    <n v="78.33"/>
    <n v="89.96"/>
    <n v="12000"/>
    <n v="1092000"/>
  </r>
  <r>
    <x v="20"/>
    <s v="2024-01"/>
    <s v="2024"/>
    <s v="01"/>
    <x v="5"/>
    <s v="Air Arabia"/>
    <s v="UAE"/>
    <x v="0"/>
    <x v="1"/>
    <n v="65"/>
    <n v="399.9"/>
    <n v="108.13"/>
    <n v="0.27039999999999997"/>
    <n v="26.48"/>
    <n v="6.6199999999999995E-2"/>
    <n v="0.6"/>
    <n v="0.26100000000000001"/>
    <n v="2.83"/>
    <n v="84.61"/>
    <n v="99.02"/>
    <n v="12000"/>
    <n v="1092000"/>
  </r>
  <r>
    <x v="21"/>
    <s v="2024-04"/>
    <s v="2024"/>
    <s v="04"/>
    <x v="5"/>
    <s v="Air Arabia"/>
    <s v="UAE"/>
    <x v="0"/>
    <x v="1"/>
    <n v="65"/>
    <n v="388.55"/>
    <n v="111.14"/>
    <n v="0.28610000000000002"/>
    <n v="32.869999999999997"/>
    <n v="8.4600000000000009E-2"/>
    <n v="0.63"/>
    <n v="0.35399999999999998"/>
    <n v="5.15"/>
    <n v="84.06"/>
    <n v="101.78"/>
    <n v="12000"/>
    <n v="1092000"/>
  </r>
  <r>
    <x v="22"/>
    <s v="2024-07"/>
    <s v="2024"/>
    <s v="07"/>
    <x v="5"/>
    <s v="Air Arabia"/>
    <s v="UAE"/>
    <x v="0"/>
    <x v="1"/>
    <n v="65"/>
    <n v="399.3"/>
    <n v="102.63"/>
    <n v="0.25700000000000001"/>
    <n v="28.7"/>
    <n v="7.1900000000000006E-2"/>
    <n v="0.61"/>
    <n v="0.22500000000000001"/>
    <n v="1.02"/>
    <n v="80.400000000000006"/>
    <n v="93.98"/>
    <n v="12000"/>
    <n v="1092000"/>
  </r>
  <r>
    <x v="23"/>
    <s v="2024-10"/>
    <s v="2024"/>
    <s v="10"/>
    <x v="5"/>
    <s v="Air Arabia"/>
    <s v="UAE"/>
    <x v="0"/>
    <x v="1"/>
    <n v="65"/>
    <n v="396.28"/>
    <n v="122.87"/>
    <n v="0.31010000000000004"/>
    <n v="25.78"/>
    <n v="6.5000000000000002E-2"/>
    <n v="0.61"/>
    <n v="0.32200000000000001"/>
    <n v="9.9"/>
    <n v="94.78"/>
    <n v="112.52"/>
    <n v="12000"/>
    <n v="1092000"/>
  </r>
  <r>
    <x v="24"/>
    <s v="2025-01"/>
    <s v="2025"/>
    <s v="01"/>
    <x v="6"/>
    <s v="Air Arabia"/>
    <s v="UAE"/>
    <x v="0"/>
    <x v="1"/>
    <n v="65"/>
    <n v="393.15"/>
    <n v="110.88"/>
    <n v="0.28199999999999997"/>
    <n v="48.93"/>
    <n v="0.1245"/>
    <n v="0.59"/>
    <n v="0.26100000000000001"/>
    <n v="3.71"/>
    <n v="85.13"/>
    <n v="101.54"/>
    <n v="12000"/>
    <n v="1092000"/>
  </r>
  <r>
    <x v="25"/>
    <s v="2025-04"/>
    <s v="2025"/>
    <s v="04"/>
    <x v="6"/>
    <s v="Air Arabia"/>
    <s v="UAE"/>
    <x v="0"/>
    <x v="1"/>
    <n v="65"/>
    <n v="430.49"/>
    <n v="131.51"/>
    <n v="0.30549999999999999"/>
    <n v="58.19"/>
    <n v="0.13519999999999999"/>
    <n v="0.67"/>
    <n v="7.400000000000001E-2"/>
    <n v="3.29"/>
    <n v="101.77"/>
    <n v="120.43"/>
    <n v="12000"/>
    <n v="1092000"/>
  </r>
  <r>
    <x v="26"/>
    <s v="2025-07"/>
    <s v="2025"/>
    <s v="07"/>
    <x v="6"/>
    <s v="Air Arabia"/>
    <s v="UAE"/>
    <x v="0"/>
    <x v="1"/>
    <n v="65"/>
    <n v="426.94"/>
    <n v="122.54"/>
    <n v="0.28699999999999998"/>
    <n v="22.5"/>
    <n v="5.2699999999999997E-2"/>
    <n v="0.73"/>
    <n v="0.30599999999999999"/>
    <n v="9.26"/>
    <n v="93.24"/>
    <n v="112.22"/>
    <n v="12000"/>
    <n v="1092000"/>
  </r>
  <r>
    <x v="27"/>
    <s v="2025-10"/>
    <s v="2025"/>
    <s v="10"/>
    <x v="6"/>
    <s v="Air Arabia"/>
    <s v="UAE"/>
    <x v="0"/>
    <x v="1"/>
    <n v="65"/>
    <n v="428.58"/>
    <n v="121.94"/>
    <n v="0.28449999999999998"/>
    <n v="45.66"/>
    <n v="0.1065"/>
    <n v="0.74"/>
    <n v="0.21299999999999999"/>
    <n v="6.25"/>
    <n v="99.34"/>
    <n v="111.67"/>
    <n v="12000"/>
    <n v="1092000"/>
  </r>
  <r>
    <x v="28"/>
    <s v="2026-01"/>
    <s v="2026"/>
    <s v="01"/>
    <x v="7"/>
    <s v="Air Arabia"/>
    <s v="UAE"/>
    <x v="0"/>
    <x v="1"/>
    <n v="65"/>
    <n v="232.96"/>
    <n v="160.31"/>
    <n v="0.68810000000000004"/>
    <n v="-39.92"/>
    <n v="-0.17129999999999998"/>
    <n v="0.36"/>
    <n v="0.19"/>
    <n v="19.22"/>
    <n v="130.88"/>
    <n v="146.80000000000001"/>
    <n v="12000"/>
    <n v="1092000"/>
  </r>
  <r>
    <x v="0"/>
    <s v="2019-01"/>
    <s v="2019"/>
    <s v="01"/>
    <x v="0"/>
    <s v="Gulf Air"/>
    <s v="Bahrain"/>
    <x v="0"/>
    <x v="0"/>
    <n v="32"/>
    <n v="239.64"/>
    <n v="44.11"/>
    <n v="0.18410000000000001"/>
    <n v="23.77"/>
    <n v="9.9199999999999997E-2"/>
    <n v="0.35"/>
    <n v="0.187"/>
    <n v="0"/>
    <n v="63"/>
    <n v="74.58"/>
    <n v="6500"/>
    <n v="591500"/>
  </r>
  <r>
    <x v="1"/>
    <s v="2019-04"/>
    <s v="2019"/>
    <s v="04"/>
    <x v="0"/>
    <s v="Gulf Air"/>
    <s v="Bahrain"/>
    <x v="0"/>
    <x v="0"/>
    <n v="32"/>
    <n v="242.7"/>
    <n v="43.38"/>
    <n v="0.1787"/>
    <n v="16.52"/>
    <n v="6.8099999999999994E-2"/>
    <n v="0.31"/>
    <n v="0.50600000000000001"/>
    <n v="0"/>
    <n v="64.790000000000006"/>
    <n v="73.34"/>
    <n v="6500"/>
    <n v="591500"/>
  </r>
  <r>
    <x v="2"/>
    <s v="2019-07"/>
    <s v="2019"/>
    <s v="07"/>
    <x v="0"/>
    <s v="Gulf Air"/>
    <s v="Bahrain"/>
    <x v="0"/>
    <x v="0"/>
    <n v="32"/>
    <n v="238.29"/>
    <n v="42.06"/>
    <n v="0.17649999999999999"/>
    <n v="18.920000000000002"/>
    <n v="7.9399999999999998E-2"/>
    <n v="0.33"/>
    <n v="0.26899999999999996"/>
    <n v="0"/>
    <n v="60.46"/>
    <n v="71.11"/>
    <n v="6500"/>
    <n v="591500"/>
  </r>
  <r>
    <x v="3"/>
    <s v="2019-10"/>
    <s v="2019"/>
    <s v="10"/>
    <x v="0"/>
    <s v="Gulf Air"/>
    <s v="Bahrain"/>
    <x v="0"/>
    <x v="0"/>
    <n v="32"/>
    <n v="222.35"/>
    <n v="45.53"/>
    <n v="0.20480000000000001"/>
    <n v="26.98"/>
    <n v="0.12130000000000001"/>
    <n v="0.32"/>
    <n v="0.315"/>
    <n v="0"/>
    <n v="65.66"/>
    <n v="76.97"/>
    <n v="6500"/>
    <n v="591500"/>
  </r>
  <r>
    <x v="4"/>
    <s v="2020-01"/>
    <s v="2020"/>
    <s v="01"/>
    <x v="0"/>
    <s v="Gulf Air"/>
    <s v="Bahrain"/>
    <x v="0"/>
    <x v="0"/>
    <n v="32"/>
    <n v="227.07"/>
    <n v="44.59"/>
    <n v="0.19640000000000002"/>
    <n v="13.17"/>
    <n v="5.7999999999999996E-2"/>
    <n v="0.32"/>
    <n v="0.6"/>
    <n v="0"/>
    <n v="66.66"/>
    <n v="75.38"/>
    <n v="6500"/>
    <n v="591500"/>
  </r>
  <r>
    <x v="5"/>
    <s v="2020-04"/>
    <s v="2020"/>
    <s v="04"/>
    <x v="1"/>
    <s v="Gulf Air"/>
    <s v="Bahrain"/>
    <x v="0"/>
    <x v="0"/>
    <n v="32"/>
    <n v="66.099999999999994"/>
    <n v="14.01"/>
    <n v="0.21199999999999999"/>
    <n v="-21.38"/>
    <n v="-0.32340000000000002"/>
    <n v="0.08"/>
    <n v="0.60499999999999998"/>
    <n v="0"/>
    <n v="20.57"/>
    <n v="23.69"/>
    <n v="6500"/>
    <n v="591500"/>
  </r>
  <r>
    <x v="6"/>
    <s v="2020-07"/>
    <s v="2020"/>
    <s v="07"/>
    <x v="1"/>
    <s v="Gulf Air"/>
    <s v="Bahrain"/>
    <x v="0"/>
    <x v="0"/>
    <n v="32"/>
    <n v="47.61"/>
    <n v="29.83"/>
    <n v="0.62649999999999995"/>
    <n v="-17.86"/>
    <n v="-0.375"/>
    <n v="7.0000000000000007E-2"/>
    <n v="0.27899999999999997"/>
    <n v="0"/>
    <n v="44.05"/>
    <n v="50.43"/>
    <n v="6500"/>
    <n v="591500"/>
  </r>
  <r>
    <x v="7"/>
    <s v="2020-10"/>
    <s v="2020"/>
    <s v="10"/>
    <x v="1"/>
    <s v="Gulf Air"/>
    <s v="Bahrain"/>
    <x v="0"/>
    <x v="0"/>
    <n v="32"/>
    <n v="77.06"/>
    <n v="27.01"/>
    <n v="0.35049999999999998"/>
    <n v="-31.5"/>
    <n v="-0.40869999999999995"/>
    <n v="0.11"/>
    <n v="6.9000000000000006E-2"/>
    <n v="0"/>
    <n v="39.950000000000003"/>
    <n v="45.66"/>
    <n v="6500"/>
    <n v="591500"/>
  </r>
  <r>
    <x v="8"/>
    <s v="2021-01"/>
    <s v="2021"/>
    <s v="01"/>
    <x v="1"/>
    <s v="Gulf Air"/>
    <s v="Bahrain"/>
    <x v="0"/>
    <x v="0"/>
    <n v="32"/>
    <n v="46.21"/>
    <n v="50.73"/>
    <n v="1.0979000000000001"/>
    <n v="-12.45"/>
    <n v="-0.26950000000000002"/>
    <n v="7.0000000000000007E-2"/>
    <n v="0.30499999999999999"/>
    <n v="0"/>
    <n v="75.489999999999995"/>
    <n v="85.77"/>
    <n v="6500"/>
    <n v="591500"/>
  </r>
  <r>
    <x v="9"/>
    <s v="2021-04"/>
    <s v="2021"/>
    <s v="04"/>
    <x v="1"/>
    <s v="Gulf Air"/>
    <s v="Bahrain"/>
    <x v="0"/>
    <x v="0"/>
    <n v="32"/>
    <n v="69.27"/>
    <n v="53.78"/>
    <n v="0.77639999999999998"/>
    <n v="-14.98"/>
    <n v="-0.2162"/>
    <n v="0.1"/>
    <n v="0.223"/>
    <n v="0.12"/>
    <n v="76.83"/>
    <n v="90.92"/>
    <n v="6500"/>
    <n v="591500"/>
  </r>
  <r>
    <x v="10"/>
    <s v="2021-07"/>
    <s v="2021"/>
    <s v="07"/>
    <x v="2"/>
    <s v="Gulf Air"/>
    <s v="Bahrain"/>
    <x v="0"/>
    <x v="0"/>
    <n v="32"/>
    <n v="160.30000000000001"/>
    <n v="53.19"/>
    <n v="0.33179999999999998"/>
    <n v="7.12"/>
    <n v="4.4400000000000002E-2"/>
    <n v="0.23"/>
    <n v="0.255"/>
    <n v="0"/>
    <n v="78.97"/>
    <n v="89.92"/>
    <n v="6500"/>
    <n v="591500"/>
  </r>
  <r>
    <x v="11"/>
    <s v="2021-10"/>
    <s v="2021"/>
    <s v="10"/>
    <x v="2"/>
    <s v="Gulf Air"/>
    <s v="Bahrain"/>
    <x v="0"/>
    <x v="0"/>
    <n v="32"/>
    <n v="156.54"/>
    <n v="61.66"/>
    <n v="0.39390000000000003"/>
    <n v="4.76"/>
    <n v="3.04E-2"/>
    <n v="0.21"/>
    <n v="8.5999999999999993E-2"/>
    <n v="0.84"/>
    <n v="86.82"/>
    <n v="104.25"/>
    <n v="6500"/>
    <n v="591500"/>
  </r>
  <r>
    <x v="12"/>
    <s v="2022-01"/>
    <s v="2022"/>
    <s v="01"/>
    <x v="2"/>
    <s v="Gulf Air"/>
    <s v="Bahrain"/>
    <x v="0"/>
    <x v="0"/>
    <n v="32"/>
    <n v="175.02"/>
    <n v="48.17"/>
    <n v="0.2752"/>
    <n v="7.12"/>
    <n v="4.07E-2"/>
    <n v="0.23"/>
    <n v="0.54100000000000004"/>
    <n v="0"/>
    <n v="72.010000000000005"/>
    <n v="81.44"/>
    <n v="6500"/>
    <n v="591500"/>
  </r>
  <r>
    <x v="13"/>
    <s v="2022-04"/>
    <s v="2022"/>
    <s v="04"/>
    <x v="3"/>
    <s v="Gulf Air"/>
    <s v="Bahrain"/>
    <x v="0"/>
    <x v="0"/>
    <n v="32"/>
    <n v="205.82"/>
    <n v="77.86"/>
    <n v="0.37829999999999997"/>
    <n v="12.28"/>
    <n v="5.9699999999999996E-2"/>
    <n v="0.31"/>
    <n v="0.124"/>
    <n v="4.47"/>
    <n v="109.53"/>
    <n v="131.63"/>
    <n v="6500"/>
    <n v="591500"/>
  </r>
  <r>
    <x v="14"/>
    <s v="2022-07"/>
    <s v="2022"/>
    <s v="07"/>
    <x v="3"/>
    <s v="Gulf Air"/>
    <s v="Bahrain"/>
    <x v="0"/>
    <x v="0"/>
    <n v="32"/>
    <n v="210.25"/>
    <n v="55.89"/>
    <n v="0.26579999999999998"/>
    <n v="10.57"/>
    <n v="5.0300000000000004E-2"/>
    <n v="0.28000000000000003"/>
    <n v="0.14400000000000002"/>
    <n v="0.4"/>
    <n v="80.69"/>
    <n v="94.49"/>
    <n v="6500"/>
    <n v="591500"/>
  </r>
  <r>
    <x v="15"/>
    <s v="2022-10"/>
    <s v="2022"/>
    <s v="10"/>
    <x v="3"/>
    <s v="Gulf Air"/>
    <s v="Bahrain"/>
    <x v="0"/>
    <x v="0"/>
    <n v="32"/>
    <n v="245.24"/>
    <n v="62.44"/>
    <n v="0.25459999999999999"/>
    <n v="11.67"/>
    <n v="4.7599999999999996E-2"/>
    <n v="0.31"/>
    <n v="0.58499999999999996"/>
    <n v="6.32"/>
    <n v="93.25"/>
    <n v="105.56"/>
    <n v="6500"/>
    <n v="591500"/>
  </r>
  <r>
    <x v="16"/>
    <s v="2023-01"/>
    <s v="2023"/>
    <s v="01"/>
    <x v="4"/>
    <s v="Gulf Air"/>
    <s v="Bahrain"/>
    <x v="0"/>
    <x v="0"/>
    <n v="32"/>
    <n v="226.86"/>
    <n v="57.45"/>
    <n v="0.25319999999999998"/>
    <n v="25.77"/>
    <n v="0.11359999999999999"/>
    <n v="0.3"/>
    <n v="0.60799999999999998"/>
    <n v="2.77"/>
    <n v="84.29"/>
    <n v="97.13"/>
    <n v="6500"/>
    <n v="591500"/>
  </r>
  <r>
    <x v="17"/>
    <s v="2023-04"/>
    <s v="2023"/>
    <s v="04"/>
    <x v="4"/>
    <s v="Gulf Air"/>
    <s v="Bahrain"/>
    <x v="0"/>
    <x v="0"/>
    <n v="32"/>
    <n v="222.17"/>
    <n v="60.32"/>
    <n v="0.27149999999999996"/>
    <n v="23.61"/>
    <n v="0.10630000000000001"/>
    <n v="0.33"/>
    <n v="0.155"/>
    <n v="1.24"/>
    <n v="88.18"/>
    <n v="101.97"/>
    <n v="6500"/>
    <n v="591500"/>
  </r>
  <r>
    <x v="18"/>
    <s v="2023-07"/>
    <s v="2023"/>
    <s v="07"/>
    <x v="4"/>
    <s v="Gulf Air"/>
    <s v="Bahrain"/>
    <x v="0"/>
    <x v="0"/>
    <n v="32"/>
    <n v="237.19"/>
    <n v="57.68"/>
    <n v="0.2432"/>
    <n v="28.28"/>
    <n v="0.1192"/>
    <n v="0.36"/>
    <n v="0.6"/>
    <n v="2.89"/>
    <n v="85.16"/>
    <n v="97.52"/>
    <n v="6500"/>
    <n v="591500"/>
  </r>
  <r>
    <x v="19"/>
    <s v="2023-10"/>
    <s v="2023"/>
    <s v="10"/>
    <x v="5"/>
    <s v="Gulf Air"/>
    <s v="Bahrain"/>
    <x v="0"/>
    <x v="0"/>
    <n v="32"/>
    <n v="225.12"/>
    <n v="53.21"/>
    <n v="0.2364"/>
    <n v="22.3"/>
    <n v="9.9100000000000008E-2"/>
    <n v="0.34"/>
    <n v="3.0000000000000001E-3"/>
    <n v="0"/>
    <n v="78.33"/>
    <n v="89.96"/>
    <n v="6500"/>
    <n v="591500"/>
  </r>
  <r>
    <x v="20"/>
    <s v="2024-01"/>
    <s v="2024"/>
    <s v="01"/>
    <x v="5"/>
    <s v="Gulf Air"/>
    <s v="Bahrain"/>
    <x v="0"/>
    <x v="0"/>
    <n v="32"/>
    <n v="232.1"/>
    <n v="58.57"/>
    <n v="0.25230000000000002"/>
    <n v="14.28"/>
    <n v="6.1500000000000006E-2"/>
    <n v="0.34"/>
    <n v="0.51800000000000002"/>
    <n v="3.04"/>
    <n v="84.61"/>
    <n v="99.02"/>
    <n v="6500"/>
    <n v="591500"/>
  </r>
  <r>
    <x v="21"/>
    <s v="2024-04"/>
    <s v="2024"/>
    <s v="04"/>
    <x v="5"/>
    <s v="Gulf Air"/>
    <s v="Bahrain"/>
    <x v="0"/>
    <x v="0"/>
    <n v="32"/>
    <n v="234.6"/>
    <n v="60.2"/>
    <n v="0.25659999999999999"/>
    <n v="32.75"/>
    <n v="0.1396"/>
    <n v="0.32"/>
    <n v="0.36499999999999999"/>
    <n v="2.88"/>
    <n v="84.06"/>
    <n v="101.78"/>
    <n v="6500"/>
    <n v="591500"/>
  </r>
  <r>
    <x v="22"/>
    <s v="2024-07"/>
    <s v="2024"/>
    <s v="07"/>
    <x v="5"/>
    <s v="Gulf Air"/>
    <s v="Bahrain"/>
    <x v="0"/>
    <x v="0"/>
    <n v="32"/>
    <n v="225.71"/>
    <n v="55.59"/>
    <n v="0.24629999999999999"/>
    <n v="31.01"/>
    <n v="0.13739999999999999"/>
    <n v="0.34"/>
    <n v="0.6409999999999999"/>
    <n v="1.58"/>
    <n v="80.400000000000006"/>
    <n v="93.98"/>
    <n v="6500"/>
    <n v="591500"/>
  </r>
  <r>
    <x v="23"/>
    <s v="2024-10"/>
    <s v="2024"/>
    <s v="10"/>
    <x v="5"/>
    <s v="Gulf Air"/>
    <s v="Bahrain"/>
    <x v="0"/>
    <x v="0"/>
    <n v="32"/>
    <n v="242.56"/>
    <n v="66.56"/>
    <n v="0.27440000000000003"/>
    <n v="31.42"/>
    <n v="0.1295"/>
    <n v="0.36"/>
    <n v="7.8E-2"/>
    <n v="1.3"/>
    <n v="94.78"/>
    <n v="112.52"/>
    <n v="6500"/>
    <n v="591500"/>
  </r>
  <r>
    <x v="24"/>
    <s v="2025-01"/>
    <s v="2025"/>
    <s v="01"/>
    <x v="6"/>
    <s v="Gulf Air"/>
    <s v="Bahrain"/>
    <x v="0"/>
    <x v="0"/>
    <n v="32"/>
    <n v="218.83"/>
    <n v="60.06"/>
    <n v="0.27449999999999997"/>
    <n v="28.12"/>
    <n v="0.1285"/>
    <n v="0.32"/>
    <n v="0.56899999999999995"/>
    <n v="4.38"/>
    <n v="85.13"/>
    <n v="101.54"/>
    <n v="6500"/>
    <n v="591500"/>
  </r>
  <r>
    <x v="25"/>
    <s v="2025-04"/>
    <s v="2025"/>
    <s v="04"/>
    <x v="6"/>
    <s v="Gulf Air"/>
    <s v="Bahrain"/>
    <x v="0"/>
    <x v="0"/>
    <n v="32"/>
    <n v="236.27"/>
    <n v="71.23"/>
    <n v="0.30149999999999999"/>
    <n v="12.75"/>
    <n v="5.4000000000000006E-2"/>
    <n v="0.35"/>
    <n v="0.501"/>
    <n v="12.07"/>
    <n v="101.77"/>
    <n v="120.43"/>
    <n v="6500"/>
    <n v="591500"/>
  </r>
  <r>
    <x v="26"/>
    <s v="2025-07"/>
    <s v="2025"/>
    <s v="07"/>
    <x v="6"/>
    <s v="Gulf Air"/>
    <s v="Bahrain"/>
    <x v="0"/>
    <x v="0"/>
    <n v="32"/>
    <n v="230.45"/>
    <n v="66.38"/>
    <n v="0.28800000000000003"/>
    <n v="21.49"/>
    <n v="9.3200000000000005E-2"/>
    <n v="0.32"/>
    <n v="0.254"/>
    <n v="4.16"/>
    <n v="93.24"/>
    <n v="112.22"/>
    <n v="6500"/>
    <n v="591500"/>
  </r>
  <r>
    <x v="27"/>
    <s v="2025-10"/>
    <s v="2025"/>
    <s v="10"/>
    <x v="6"/>
    <s v="Gulf Air"/>
    <s v="Bahrain"/>
    <x v="0"/>
    <x v="0"/>
    <n v="32"/>
    <n v="237.24"/>
    <n v="66.05"/>
    <n v="0.27839999999999998"/>
    <n v="31.06"/>
    <n v="0.13089999999999999"/>
    <n v="0.31"/>
    <n v="2.5000000000000001E-2"/>
    <n v="0.4"/>
    <n v="99.34"/>
    <n v="111.67"/>
    <n v="6500"/>
    <n v="591500"/>
  </r>
  <r>
    <x v="28"/>
    <s v="2026-01"/>
    <s v="2026"/>
    <s v="01"/>
    <x v="7"/>
    <s v="Gulf Air"/>
    <s v="Bahrain"/>
    <x v="0"/>
    <x v="0"/>
    <n v="32"/>
    <n v="123.91"/>
    <n v="86.83"/>
    <n v="0.70069999999999988"/>
    <n v="-12.21"/>
    <n v="-9.849999999999999E-2"/>
    <n v="0.18"/>
    <n v="0.22699999999999998"/>
    <n v="12.44"/>
    <n v="130.88"/>
    <n v="146.80000000000001"/>
    <n v="6500"/>
    <n v="591500"/>
  </r>
  <r>
    <x v="0"/>
    <s v="2019-01"/>
    <s v="2019"/>
    <s v="01"/>
    <x v="0"/>
    <s v="Kuwait Airways"/>
    <s v="Kuwait"/>
    <x v="0"/>
    <x v="0"/>
    <n v="28"/>
    <n v="169.72"/>
    <n v="35.29"/>
    <n v="0.2079"/>
    <n v="21.36"/>
    <n v="0.12590000000000001"/>
    <n v="0.25"/>
    <n v="0.157"/>
    <n v="0"/>
    <n v="63"/>
    <n v="74.58"/>
    <n v="5200"/>
    <n v="473200"/>
  </r>
  <r>
    <x v="1"/>
    <s v="2019-04"/>
    <s v="2019"/>
    <s v="04"/>
    <x v="0"/>
    <s v="Kuwait Airways"/>
    <s v="Kuwait"/>
    <x v="0"/>
    <x v="0"/>
    <n v="28"/>
    <n v="168.36"/>
    <n v="34.700000000000003"/>
    <n v="0.20610000000000001"/>
    <n v="22.06"/>
    <n v="0.13100000000000001"/>
    <n v="0.25"/>
    <n v="0.11199999999999999"/>
    <n v="0"/>
    <n v="64.790000000000006"/>
    <n v="73.34"/>
    <n v="5200"/>
    <n v="473200"/>
  </r>
  <r>
    <x v="2"/>
    <s v="2019-07"/>
    <s v="2019"/>
    <s v="07"/>
    <x v="0"/>
    <s v="Kuwait Airways"/>
    <s v="Kuwait"/>
    <x v="0"/>
    <x v="0"/>
    <n v="28"/>
    <n v="187.95"/>
    <n v="33.65"/>
    <n v="0.17899999999999999"/>
    <n v="13.82"/>
    <n v="7.3599999999999999E-2"/>
    <n v="0.31"/>
    <n v="0.15"/>
    <n v="0"/>
    <n v="60.46"/>
    <n v="71.11"/>
    <n v="5200"/>
    <n v="473200"/>
  </r>
  <r>
    <x v="3"/>
    <s v="2019-10"/>
    <s v="2019"/>
    <s v="10"/>
    <x v="0"/>
    <s v="Kuwait Airways"/>
    <s v="Kuwait"/>
    <x v="0"/>
    <x v="0"/>
    <n v="28"/>
    <n v="182.79"/>
    <n v="36.42"/>
    <n v="0.1993"/>
    <n v="11.55"/>
    <n v="6.3200000000000006E-2"/>
    <n v="0.28999999999999998"/>
    <n v="0.28699999999999998"/>
    <n v="0"/>
    <n v="65.66"/>
    <n v="76.97"/>
    <n v="5200"/>
    <n v="473200"/>
  </r>
  <r>
    <x v="4"/>
    <s v="2020-01"/>
    <s v="2020"/>
    <s v="01"/>
    <x v="0"/>
    <s v="Kuwait Airways"/>
    <s v="Kuwait"/>
    <x v="0"/>
    <x v="0"/>
    <n v="28"/>
    <n v="184.42"/>
    <n v="35.67"/>
    <n v="0.19339999999999999"/>
    <n v="20.84"/>
    <n v="0.113"/>
    <n v="0.31"/>
    <n v="0.245"/>
    <n v="0"/>
    <n v="66.66"/>
    <n v="75.38"/>
    <n v="5200"/>
    <n v="473200"/>
  </r>
  <r>
    <x v="5"/>
    <s v="2020-04"/>
    <s v="2020"/>
    <s v="04"/>
    <x v="1"/>
    <s v="Kuwait Airways"/>
    <s v="Kuwait"/>
    <x v="0"/>
    <x v="0"/>
    <n v="28"/>
    <n v="52.65"/>
    <n v="11.21"/>
    <n v="0.21289999999999998"/>
    <n v="-10.94"/>
    <n v="-0.20780000000000001"/>
    <n v="0.08"/>
    <n v="0.18899999999999997"/>
    <n v="0"/>
    <n v="20.57"/>
    <n v="23.69"/>
    <n v="5200"/>
    <n v="473200"/>
  </r>
  <r>
    <x v="6"/>
    <s v="2020-07"/>
    <s v="2020"/>
    <s v="07"/>
    <x v="1"/>
    <s v="Kuwait Airways"/>
    <s v="Kuwait"/>
    <x v="0"/>
    <x v="0"/>
    <n v="28"/>
    <n v="53.17"/>
    <n v="23.86"/>
    <n v="0.44880000000000003"/>
    <n v="-18"/>
    <n v="-0.33860000000000001"/>
    <n v="0.08"/>
    <n v="0.35499999999999998"/>
    <n v="0"/>
    <n v="44.05"/>
    <n v="50.43"/>
    <n v="5200"/>
    <n v="473200"/>
  </r>
  <r>
    <x v="7"/>
    <s v="2020-10"/>
    <s v="2020"/>
    <s v="10"/>
    <x v="1"/>
    <s v="Kuwait Airways"/>
    <s v="Kuwait"/>
    <x v="0"/>
    <x v="0"/>
    <n v="28"/>
    <n v="58.99"/>
    <n v="21.61"/>
    <n v="0.36619999999999997"/>
    <n v="-25.31"/>
    <n v="-0.42899999999999999"/>
    <n v="0.09"/>
    <n v="7.2000000000000008E-2"/>
    <n v="0"/>
    <n v="39.950000000000003"/>
    <n v="45.66"/>
    <n v="5200"/>
    <n v="473200"/>
  </r>
  <r>
    <x v="8"/>
    <s v="2021-01"/>
    <s v="2021"/>
    <s v="01"/>
    <x v="1"/>
    <s v="Kuwait Airways"/>
    <s v="Kuwait"/>
    <x v="0"/>
    <x v="0"/>
    <n v="28"/>
    <n v="57.18"/>
    <n v="40.590000000000003"/>
    <n v="0.70989999999999998"/>
    <n v="-23.77"/>
    <n v="-0.4158"/>
    <n v="0.08"/>
    <n v="0.626"/>
    <n v="0"/>
    <n v="75.489999999999995"/>
    <n v="85.77"/>
    <n v="5200"/>
    <n v="473200"/>
  </r>
  <r>
    <x v="9"/>
    <s v="2021-04"/>
    <s v="2021"/>
    <s v="04"/>
    <x v="1"/>
    <s v="Kuwait Airways"/>
    <s v="Kuwait"/>
    <x v="0"/>
    <x v="0"/>
    <n v="28"/>
    <n v="45.97"/>
    <n v="43.02"/>
    <n v="0.93599999999999994"/>
    <n v="-11.19"/>
    <n v="-0.24350000000000002"/>
    <n v="7.0000000000000007E-2"/>
    <n v="0.28300000000000003"/>
    <n v="0.12"/>
    <n v="76.83"/>
    <n v="90.92"/>
    <n v="5200"/>
    <n v="473200"/>
  </r>
  <r>
    <x v="10"/>
    <s v="2021-07"/>
    <s v="2021"/>
    <s v="07"/>
    <x v="2"/>
    <s v="Kuwait Airways"/>
    <s v="Kuwait"/>
    <x v="0"/>
    <x v="0"/>
    <n v="28"/>
    <n v="145.66"/>
    <n v="42.55"/>
    <n v="0.29210000000000003"/>
    <n v="11.46"/>
    <n v="7.8700000000000006E-2"/>
    <n v="0.23"/>
    <n v="0.59699999999999998"/>
    <n v="0"/>
    <n v="78.97"/>
    <n v="89.92"/>
    <n v="5200"/>
    <n v="473200"/>
  </r>
  <r>
    <x v="11"/>
    <s v="2021-10"/>
    <s v="2021"/>
    <s v="10"/>
    <x v="2"/>
    <s v="Kuwait Airways"/>
    <s v="Kuwait"/>
    <x v="0"/>
    <x v="0"/>
    <n v="28"/>
    <n v="143.94999999999999"/>
    <n v="49.33"/>
    <n v="0.3427"/>
    <n v="2.98"/>
    <n v="2.07E-2"/>
    <n v="0.24"/>
    <n v="0.13699999999999998"/>
    <n v="1.07"/>
    <n v="86.82"/>
    <n v="104.25"/>
    <n v="5200"/>
    <n v="473200"/>
  </r>
  <r>
    <x v="12"/>
    <s v="2022-01"/>
    <s v="2022"/>
    <s v="01"/>
    <x v="2"/>
    <s v="Kuwait Airways"/>
    <s v="Kuwait"/>
    <x v="0"/>
    <x v="0"/>
    <n v="28"/>
    <n v="144.72"/>
    <n v="38.54"/>
    <n v="0.26629999999999998"/>
    <n v="-1.42"/>
    <n v="-9.7999999999999997E-3"/>
    <n v="0.2"/>
    <n v="0.51200000000000001"/>
    <n v="0"/>
    <n v="72.010000000000005"/>
    <n v="81.44"/>
    <n v="5200"/>
    <n v="473200"/>
  </r>
  <r>
    <x v="13"/>
    <s v="2022-04"/>
    <s v="2022"/>
    <s v="04"/>
    <x v="3"/>
    <s v="Kuwait Airways"/>
    <s v="Kuwait"/>
    <x v="0"/>
    <x v="0"/>
    <n v="28"/>
    <n v="190.05"/>
    <n v="62.29"/>
    <n v="0.32770000000000005"/>
    <n v="7.1"/>
    <n v="3.73E-2"/>
    <n v="0.3"/>
    <n v="0.48700000000000004"/>
    <n v="14.03"/>
    <n v="109.53"/>
    <n v="131.63"/>
    <n v="5200"/>
    <n v="473200"/>
  </r>
  <r>
    <x v="14"/>
    <s v="2022-07"/>
    <s v="2022"/>
    <s v="07"/>
    <x v="3"/>
    <s v="Kuwait Airways"/>
    <s v="Kuwait"/>
    <x v="0"/>
    <x v="0"/>
    <n v="28"/>
    <n v="169.11"/>
    <n v="44.71"/>
    <n v="0.26440000000000002"/>
    <n v="5.37"/>
    <n v="3.1800000000000002E-2"/>
    <n v="0.26"/>
    <n v="0.29699999999999999"/>
    <n v="0.66"/>
    <n v="80.69"/>
    <n v="94.49"/>
    <n v="5200"/>
    <n v="473200"/>
  </r>
  <r>
    <x v="15"/>
    <s v="2022-10"/>
    <s v="2022"/>
    <s v="10"/>
    <x v="3"/>
    <s v="Kuwait Airways"/>
    <s v="Kuwait"/>
    <x v="0"/>
    <x v="0"/>
    <n v="28"/>
    <n v="183.48"/>
    <n v="49.95"/>
    <n v="0.2722"/>
    <n v="6.59"/>
    <n v="3.5900000000000001E-2"/>
    <n v="0.3"/>
    <n v="0.32600000000000001"/>
    <n v="2.82"/>
    <n v="93.25"/>
    <n v="105.56"/>
    <n v="5200"/>
    <n v="473200"/>
  </r>
  <r>
    <x v="16"/>
    <s v="2023-01"/>
    <s v="2023"/>
    <s v="01"/>
    <x v="4"/>
    <s v="Kuwait Airways"/>
    <s v="Kuwait"/>
    <x v="0"/>
    <x v="0"/>
    <n v="28"/>
    <n v="186.81"/>
    <n v="45.96"/>
    <n v="0.24600000000000002"/>
    <n v="18.04"/>
    <n v="9.6600000000000005E-2"/>
    <n v="0.28999999999999998"/>
    <n v="0.18600000000000003"/>
    <n v="0.68"/>
    <n v="84.29"/>
    <n v="97.13"/>
    <n v="5200"/>
    <n v="473200"/>
  </r>
  <r>
    <x v="17"/>
    <s v="2023-04"/>
    <s v="2023"/>
    <s v="04"/>
    <x v="4"/>
    <s v="Kuwait Airways"/>
    <s v="Kuwait"/>
    <x v="0"/>
    <x v="0"/>
    <n v="28"/>
    <n v="168.67"/>
    <n v="48.25"/>
    <n v="0.28610000000000002"/>
    <n v="13.02"/>
    <n v="7.7199999999999991E-2"/>
    <n v="0.26"/>
    <n v="0.36899999999999999"/>
    <n v="2.37"/>
    <n v="88.18"/>
    <n v="101.97"/>
    <n v="5200"/>
    <n v="473200"/>
  </r>
  <r>
    <x v="18"/>
    <s v="2023-07"/>
    <s v="2023"/>
    <s v="07"/>
    <x v="4"/>
    <s v="Kuwait Airways"/>
    <s v="Kuwait"/>
    <x v="0"/>
    <x v="0"/>
    <n v="28"/>
    <n v="185.81"/>
    <n v="46.15"/>
    <n v="0.24840000000000001"/>
    <n v="16.05"/>
    <n v="8.6400000000000005E-2"/>
    <n v="0.28000000000000003"/>
    <n v="0.56799999999999995"/>
    <n v="2.19"/>
    <n v="85.16"/>
    <n v="97.52"/>
    <n v="5200"/>
    <n v="473200"/>
  </r>
  <r>
    <x v="19"/>
    <s v="2023-10"/>
    <s v="2023"/>
    <s v="10"/>
    <x v="5"/>
    <s v="Kuwait Airways"/>
    <s v="Kuwait"/>
    <x v="0"/>
    <x v="0"/>
    <n v="28"/>
    <n v="182.95"/>
    <n v="42.57"/>
    <n v="0.23269999999999999"/>
    <n v="12.93"/>
    <n v="7.0699999999999999E-2"/>
    <n v="0.27"/>
    <n v="0.18899999999999997"/>
    <n v="0"/>
    <n v="78.33"/>
    <n v="89.96"/>
    <n v="5200"/>
    <n v="473200"/>
  </r>
  <r>
    <x v="20"/>
    <s v="2024-01"/>
    <s v="2024"/>
    <s v="01"/>
    <x v="5"/>
    <s v="Kuwait Airways"/>
    <s v="Kuwait"/>
    <x v="0"/>
    <x v="0"/>
    <n v="28"/>
    <n v="169.06"/>
    <n v="46.86"/>
    <n v="0.2772"/>
    <n v="22.04"/>
    <n v="0.1303"/>
    <n v="0.27"/>
    <n v="0.56100000000000005"/>
    <n v="2.63"/>
    <n v="84.61"/>
    <n v="99.02"/>
    <n v="5200"/>
    <n v="473200"/>
  </r>
  <r>
    <x v="21"/>
    <s v="2024-04"/>
    <s v="2024"/>
    <s v="04"/>
    <x v="5"/>
    <s v="Kuwait Airways"/>
    <s v="Kuwait"/>
    <x v="0"/>
    <x v="0"/>
    <n v="28"/>
    <n v="184.91"/>
    <n v="48.16"/>
    <n v="0.26050000000000001"/>
    <n v="10.23"/>
    <n v="5.5300000000000002E-2"/>
    <n v="0.28000000000000003"/>
    <n v="0.63200000000000001"/>
    <n v="3.98"/>
    <n v="84.06"/>
    <n v="101.78"/>
    <n v="5200"/>
    <n v="473200"/>
  </r>
  <r>
    <x v="22"/>
    <s v="2024-07"/>
    <s v="2024"/>
    <s v="07"/>
    <x v="5"/>
    <s v="Kuwait Airways"/>
    <s v="Kuwait"/>
    <x v="0"/>
    <x v="0"/>
    <n v="28"/>
    <n v="171.57"/>
    <n v="44.47"/>
    <n v="0.25920000000000004"/>
    <n v="7.72"/>
    <n v="4.4999999999999998E-2"/>
    <n v="0.26"/>
    <n v="0.33200000000000002"/>
    <n v="0.65"/>
    <n v="80.400000000000006"/>
    <n v="93.98"/>
    <n v="5200"/>
    <n v="473200"/>
  </r>
  <r>
    <x v="23"/>
    <s v="2024-10"/>
    <s v="2024"/>
    <s v="10"/>
    <x v="5"/>
    <s v="Kuwait Airways"/>
    <s v="Kuwait"/>
    <x v="0"/>
    <x v="0"/>
    <n v="28"/>
    <n v="167.52"/>
    <n v="53.24"/>
    <n v="0.31780000000000003"/>
    <n v="13.85"/>
    <n v="8.2699999999999996E-2"/>
    <n v="0.25"/>
    <n v="0.13800000000000001"/>
    <n v="1.84"/>
    <n v="94.78"/>
    <n v="112.52"/>
    <n v="5200"/>
    <n v="473200"/>
  </r>
  <r>
    <x v="24"/>
    <s v="2025-01"/>
    <s v="2025"/>
    <s v="01"/>
    <x v="6"/>
    <s v="Kuwait Airways"/>
    <s v="Kuwait"/>
    <x v="0"/>
    <x v="0"/>
    <n v="28"/>
    <n v="172.25"/>
    <n v="48.05"/>
    <n v="0.27889999999999998"/>
    <n v="8.7100000000000009"/>
    <n v="5.0499999999999996E-2"/>
    <n v="0.24"/>
    <n v="0.38700000000000001"/>
    <n v="2.38"/>
    <n v="85.13"/>
    <n v="101.54"/>
    <n v="5200"/>
    <n v="473200"/>
  </r>
  <r>
    <x v="25"/>
    <s v="2025-04"/>
    <s v="2025"/>
    <s v="04"/>
    <x v="6"/>
    <s v="Kuwait Airways"/>
    <s v="Kuwait"/>
    <x v="0"/>
    <x v="0"/>
    <n v="28"/>
    <n v="187.81"/>
    <n v="56.99"/>
    <n v="0.3034"/>
    <n v="22.63"/>
    <n v="0.12050000000000001"/>
    <n v="0.31"/>
    <n v="0.47799999999999998"/>
    <n v="9.2100000000000009"/>
    <n v="101.77"/>
    <n v="120.43"/>
    <n v="5200"/>
    <n v="473200"/>
  </r>
  <r>
    <x v="26"/>
    <s v="2025-07"/>
    <s v="2025"/>
    <s v="07"/>
    <x v="6"/>
    <s v="Kuwait Airways"/>
    <s v="Kuwait"/>
    <x v="0"/>
    <x v="0"/>
    <n v="28"/>
    <n v="188"/>
    <n v="53.1"/>
    <n v="0.28249999999999997"/>
    <n v="25.39"/>
    <n v="0.1351"/>
    <n v="0.31"/>
    <n v="0.46500000000000002"/>
    <n v="6.1"/>
    <n v="93.24"/>
    <n v="112.22"/>
    <n v="5200"/>
    <n v="473200"/>
  </r>
  <r>
    <x v="27"/>
    <s v="2025-10"/>
    <s v="2025"/>
    <s v="10"/>
    <x v="6"/>
    <s v="Kuwait Airways"/>
    <s v="Kuwait"/>
    <x v="0"/>
    <x v="0"/>
    <n v="28"/>
    <n v="173.2"/>
    <n v="52.84"/>
    <n v="0.30510000000000004"/>
    <n v="8.51"/>
    <n v="4.9100000000000005E-2"/>
    <n v="0.25"/>
    <n v="0.47899999999999998"/>
    <n v="6.09"/>
    <n v="99.34"/>
    <n v="111.67"/>
    <n v="5200"/>
    <n v="473200"/>
  </r>
  <r>
    <x v="28"/>
    <s v="2026-01"/>
    <s v="2026"/>
    <s v="01"/>
    <x v="7"/>
    <s v="Kuwait Airways"/>
    <s v="Kuwait"/>
    <x v="0"/>
    <x v="0"/>
    <n v="28"/>
    <n v="88.74"/>
    <n v="69.47"/>
    <n v="0.78280000000000005"/>
    <n v="-7.7"/>
    <n v="-8.6699999999999999E-2"/>
    <n v="0.13"/>
    <n v="0.125"/>
    <n v="5.48"/>
    <n v="130.88"/>
    <n v="146.80000000000001"/>
    <n v="5200"/>
    <n v="473200"/>
  </r>
  <r>
    <x v="0"/>
    <s v="2019-01"/>
    <s v="2019"/>
    <s v="01"/>
    <x v="0"/>
    <s v="Oman Air"/>
    <s v="Oman"/>
    <x v="0"/>
    <x v="0"/>
    <n v="35"/>
    <n v="200.6"/>
    <n v="40.72"/>
    <n v="0.20300000000000001"/>
    <n v="22.13"/>
    <n v="0.1103"/>
    <n v="0.33"/>
    <n v="0.113"/>
    <n v="0"/>
    <n v="63"/>
    <n v="74.58"/>
    <n v="6000"/>
    <n v="546000"/>
  </r>
  <r>
    <x v="1"/>
    <s v="2019-04"/>
    <s v="2019"/>
    <s v="04"/>
    <x v="0"/>
    <s v="Oman Air"/>
    <s v="Oman"/>
    <x v="0"/>
    <x v="0"/>
    <n v="35"/>
    <n v="209.18"/>
    <n v="40.04"/>
    <n v="0.19140000000000001"/>
    <n v="26.79"/>
    <n v="0.12809999999999999"/>
    <n v="0.36"/>
    <n v="0.34100000000000003"/>
    <n v="0"/>
    <n v="64.790000000000006"/>
    <n v="73.34"/>
    <n v="6000"/>
    <n v="546000"/>
  </r>
  <r>
    <x v="2"/>
    <s v="2019-07"/>
    <s v="2019"/>
    <s v="07"/>
    <x v="0"/>
    <s v="Oman Air"/>
    <s v="Oman"/>
    <x v="0"/>
    <x v="0"/>
    <n v="35"/>
    <n v="209.63"/>
    <n v="38.83"/>
    <n v="0.1852"/>
    <n v="23.74"/>
    <n v="0.1133"/>
    <n v="0.32"/>
    <n v="0.183"/>
    <n v="0"/>
    <n v="60.46"/>
    <n v="71.11"/>
    <n v="6000"/>
    <n v="546000"/>
  </r>
  <r>
    <x v="3"/>
    <s v="2019-10"/>
    <s v="2019"/>
    <s v="10"/>
    <x v="0"/>
    <s v="Oman Air"/>
    <s v="Oman"/>
    <x v="0"/>
    <x v="0"/>
    <n v="35"/>
    <n v="214.23"/>
    <n v="42.03"/>
    <n v="0.19620000000000001"/>
    <n v="29.14"/>
    <n v="0.13600000000000001"/>
    <n v="0.36"/>
    <n v="0.36399999999999999"/>
    <n v="0"/>
    <n v="65.66"/>
    <n v="76.97"/>
    <n v="6000"/>
    <n v="546000"/>
  </r>
  <r>
    <x v="4"/>
    <s v="2020-01"/>
    <s v="2020"/>
    <s v="01"/>
    <x v="0"/>
    <s v="Oman Air"/>
    <s v="Oman"/>
    <x v="0"/>
    <x v="0"/>
    <n v="35"/>
    <n v="190.02"/>
    <n v="41.16"/>
    <n v="0.21660000000000001"/>
    <n v="20.38"/>
    <n v="0.1072"/>
    <n v="0.3"/>
    <n v="8.3000000000000004E-2"/>
    <n v="0"/>
    <n v="66.66"/>
    <n v="75.38"/>
    <n v="6000"/>
    <n v="546000"/>
  </r>
  <r>
    <x v="5"/>
    <s v="2020-04"/>
    <s v="2020"/>
    <s v="04"/>
    <x v="1"/>
    <s v="Oman Air"/>
    <s v="Oman"/>
    <x v="0"/>
    <x v="0"/>
    <n v="35"/>
    <n v="42.19"/>
    <n v="12.93"/>
    <n v="0.30659999999999998"/>
    <n v="-11.97"/>
    <n v="-0.2838"/>
    <n v="7.0000000000000007E-2"/>
    <n v="0.22699999999999998"/>
    <n v="0"/>
    <n v="20.57"/>
    <n v="23.69"/>
    <n v="6000"/>
    <n v="546000"/>
  </r>
  <r>
    <x v="6"/>
    <s v="2020-07"/>
    <s v="2020"/>
    <s v="07"/>
    <x v="1"/>
    <s v="Oman Air"/>
    <s v="Oman"/>
    <x v="0"/>
    <x v="0"/>
    <n v="35"/>
    <n v="59.07"/>
    <n v="27.53"/>
    <n v="0.46610000000000001"/>
    <n v="-14.57"/>
    <n v="-0.24660000000000001"/>
    <n v="0.11"/>
    <n v="0.28899999999999998"/>
    <n v="0"/>
    <n v="44.05"/>
    <n v="50.43"/>
    <n v="6000"/>
    <n v="546000"/>
  </r>
  <r>
    <x v="7"/>
    <s v="2020-10"/>
    <s v="2020"/>
    <s v="10"/>
    <x v="1"/>
    <s v="Oman Air"/>
    <s v="Oman"/>
    <x v="0"/>
    <x v="0"/>
    <n v="35"/>
    <n v="58.71"/>
    <n v="24.93"/>
    <n v="0.42460000000000003"/>
    <n v="-13.43"/>
    <n v="-0.22870000000000001"/>
    <n v="0.11"/>
    <n v="0.32"/>
    <n v="0"/>
    <n v="39.950000000000003"/>
    <n v="45.66"/>
    <n v="6000"/>
    <n v="546000"/>
  </r>
  <r>
    <x v="8"/>
    <s v="2021-01"/>
    <s v="2021"/>
    <s v="01"/>
    <x v="1"/>
    <s v="Oman Air"/>
    <s v="Oman"/>
    <x v="0"/>
    <x v="0"/>
    <n v="35"/>
    <n v="44.21"/>
    <n v="46.83"/>
    <n v="1.0591999999999999"/>
    <n v="-9.9499999999999993"/>
    <n v="-0.22500000000000001"/>
    <n v="7.0000000000000007E-2"/>
    <n v="0.51800000000000002"/>
    <n v="0"/>
    <n v="75.489999999999995"/>
    <n v="85.77"/>
    <n v="6000"/>
    <n v="546000"/>
  </r>
  <r>
    <x v="9"/>
    <s v="2021-04"/>
    <s v="2021"/>
    <s v="04"/>
    <x v="1"/>
    <s v="Oman Air"/>
    <s v="Oman"/>
    <x v="0"/>
    <x v="0"/>
    <n v="35"/>
    <n v="66.349999999999994"/>
    <n v="49.64"/>
    <n v="0.74819999999999998"/>
    <n v="-17.59"/>
    <n v="-0.2651"/>
    <n v="0.12"/>
    <n v="3.3000000000000002E-2"/>
    <n v="0.02"/>
    <n v="76.83"/>
    <n v="90.92"/>
    <n v="6000"/>
    <n v="546000"/>
  </r>
  <r>
    <x v="10"/>
    <s v="2021-07"/>
    <s v="2021"/>
    <s v="07"/>
    <x v="2"/>
    <s v="Oman Air"/>
    <s v="Oman"/>
    <x v="0"/>
    <x v="0"/>
    <n v="35"/>
    <n v="138.13999999999999"/>
    <n v="49.1"/>
    <n v="0.35539999999999999"/>
    <n v="5.0599999999999996"/>
    <n v="3.6699999999999997E-2"/>
    <n v="0.25"/>
    <n v="4.0999999999999995E-2"/>
    <n v="0"/>
    <n v="78.97"/>
    <n v="89.92"/>
    <n v="6000"/>
    <n v="546000"/>
  </r>
  <r>
    <x v="11"/>
    <s v="2021-10"/>
    <s v="2021"/>
    <s v="10"/>
    <x v="2"/>
    <s v="Oman Air"/>
    <s v="Oman"/>
    <x v="0"/>
    <x v="0"/>
    <n v="35"/>
    <n v="130.76"/>
    <n v="56.92"/>
    <n v="0.43530000000000002"/>
    <n v="-1.24"/>
    <n v="-9.4999999999999998E-3"/>
    <n v="0.23"/>
    <n v="0.33299999999999996"/>
    <n v="3"/>
    <n v="86.82"/>
    <n v="104.25"/>
    <n v="6000"/>
    <n v="546000"/>
  </r>
  <r>
    <x v="12"/>
    <s v="2022-01"/>
    <s v="2022"/>
    <s v="01"/>
    <x v="2"/>
    <s v="Oman Air"/>
    <s v="Oman"/>
    <x v="0"/>
    <x v="0"/>
    <n v="35"/>
    <n v="130.33000000000001"/>
    <n v="44.47"/>
    <n v="0.34119999999999995"/>
    <n v="-3.95"/>
    <n v="-3.0299999999999997E-2"/>
    <n v="0.23"/>
    <n v="0.193"/>
    <n v="0"/>
    <n v="72.010000000000005"/>
    <n v="81.44"/>
    <n v="6000"/>
    <n v="546000"/>
  </r>
  <r>
    <x v="13"/>
    <s v="2022-04"/>
    <s v="2022"/>
    <s v="04"/>
    <x v="3"/>
    <s v="Oman Air"/>
    <s v="Oman"/>
    <x v="0"/>
    <x v="0"/>
    <n v="35"/>
    <n v="184.69"/>
    <n v="71.87"/>
    <n v="0.38909999999999995"/>
    <n v="4.45"/>
    <n v="2.41E-2"/>
    <n v="0.34"/>
    <n v="0.307"/>
    <n v="10.210000000000001"/>
    <n v="109.53"/>
    <n v="131.63"/>
    <n v="6000"/>
    <n v="546000"/>
  </r>
  <r>
    <x v="14"/>
    <s v="2022-07"/>
    <s v="2022"/>
    <s v="07"/>
    <x v="3"/>
    <s v="Oman Air"/>
    <s v="Oman"/>
    <x v="0"/>
    <x v="0"/>
    <n v="35"/>
    <n v="200.15"/>
    <n v="51.59"/>
    <n v="0.25780000000000003"/>
    <n v="4.99"/>
    <n v="2.4900000000000002E-2"/>
    <n v="0.34"/>
    <n v="0.42"/>
    <n v="1.08"/>
    <n v="80.69"/>
    <n v="94.49"/>
    <n v="6000"/>
    <n v="546000"/>
  </r>
  <r>
    <x v="15"/>
    <s v="2022-10"/>
    <s v="2022"/>
    <s v="10"/>
    <x v="3"/>
    <s v="Oman Air"/>
    <s v="Oman"/>
    <x v="0"/>
    <x v="0"/>
    <n v="35"/>
    <n v="184.91"/>
    <n v="57.64"/>
    <n v="0.31170000000000003"/>
    <n v="17.05"/>
    <n v="9.2200000000000004E-2"/>
    <n v="0.33"/>
    <n v="0.52100000000000002"/>
    <n v="5.19"/>
    <n v="93.25"/>
    <n v="105.56"/>
    <n v="6000"/>
    <n v="546000"/>
  </r>
  <r>
    <x v="16"/>
    <s v="2023-01"/>
    <s v="2023"/>
    <s v="01"/>
    <x v="4"/>
    <s v="Oman Air"/>
    <s v="Oman"/>
    <x v="0"/>
    <x v="0"/>
    <n v="35"/>
    <n v="203.95"/>
    <n v="53.03"/>
    <n v="0.26"/>
    <n v="14.97"/>
    <n v="7.3399999999999993E-2"/>
    <n v="0.36"/>
    <n v="0.14599999999999999"/>
    <n v="0.61"/>
    <n v="84.29"/>
    <n v="97.13"/>
    <n v="6000"/>
    <n v="546000"/>
  </r>
  <r>
    <x v="17"/>
    <s v="2023-04"/>
    <s v="2023"/>
    <s v="04"/>
    <x v="4"/>
    <s v="Oman Air"/>
    <s v="Oman"/>
    <x v="0"/>
    <x v="0"/>
    <n v="35"/>
    <n v="193.56"/>
    <n v="55.68"/>
    <n v="0.28760000000000002"/>
    <n v="18.16"/>
    <n v="9.3800000000000008E-2"/>
    <n v="0.33"/>
    <n v="9.8000000000000004E-2"/>
    <n v="0.73"/>
    <n v="88.18"/>
    <n v="101.97"/>
    <n v="6000"/>
    <n v="546000"/>
  </r>
  <r>
    <x v="18"/>
    <s v="2023-07"/>
    <s v="2023"/>
    <s v="07"/>
    <x v="4"/>
    <s v="Oman Air"/>
    <s v="Oman"/>
    <x v="0"/>
    <x v="0"/>
    <n v="35"/>
    <n v="203.79"/>
    <n v="53.25"/>
    <n v="0.26129999999999998"/>
    <n v="19.29"/>
    <n v="9.4600000000000004E-2"/>
    <n v="0.37"/>
    <n v="0.49299999999999999"/>
    <n v="2.19"/>
    <n v="85.16"/>
    <n v="97.52"/>
    <n v="6000"/>
    <n v="546000"/>
  </r>
  <r>
    <x v="19"/>
    <s v="2023-10"/>
    <s v="2023"/>
    <s v="10"/>
    <x v="5"/>
    <s v="Oman Air"/>
    <s v="Oman"/>
    <x v="0"/>
    <x v="0"/>
    <n v="35"/>
    <n v="195.66"/>
    <n v="49.12"/>
    <n v="0.251"/>
    <n v="23.83"/>
    <n v="0.12179999999999999"/>
    <n v="0.36"/>
    <n v="0.46600000000000003"/>
    <n v="0"/>
    <n v="78.33"/>
    <n v="89.96"/>
    <n v="6000"/>
    <n v="546000"/>
  </r>
  <r>
    <x v="20"/>
    <s v="2024-01"/>
    <s v="2024"/>
    <s v="01"/>
    <x v="5"/>
    <s v="Oman Air"/>
    <s v="Oman"/>
    <x v="0"/>
    <x v="0"/>
    <n v="35"/>
    <n v="210.46"/>
    <n v="54.06"/>
    <n v="0.25690000000000002"/>
    <n v="14.03"/>
    <n v="6.6600000000000006E-2"/>
    <n v="0.39"/>
    <n v="0.115"/>
    <n v="0.62"/>
    <n v="84.61"/>
    <n v="99.02"/>
    <n v="6000"/>
    <n v="546000"/>
  </r>
  <r>
    <x v="21"/>
    <s v="2024-04"/>
    <s v="2024"/>
    <s v="04"/>
    <x v="5"/>
    <s v="Oman Air"/>
    <s v="Oman"/>
    <x v="0"/>
    <x v="0"/>
    <n v="35"/>
    <n v="209.52"/>
    <n v="55.57"/>
    <n v="0.26519999999999999"/>
    <n v="16.66"/>
    <n v="7.9500000000000001E-2"/>
    <n v="0.35"/>
    <n v="0.185"/>
    <n v="1.35"/>
    <n v="84.06"/>
    <n v="101.78"/>
    <n v="6000"/>
    <n v="546000"/>
  </r>
  <r>
    <x v="22"/>
    <s v="2024-07"/>
    <s v="2024"/>
    <s v="07"/>
    <x v="5"/>
    <s v="Oman Air"/>
    <s v="Oman"/>
    <x v="0"/>
    <x v="0"/>
    <n v="35"/>
    <n v="201.47"/>
    <n v="51.31"/>
    <n v="0.25469999999999998"/>
    <n v="23.99"/>
    <n v="0.1191"/>
    <n v="0.37"/>
    <n v="0.27100000000000002"/>
    <n v="0.61"/>
    <n v="80.400000000000006"/>
    <n v="93.98"/>
    <n v="6000"/>
    <n v="546000"/>
  </r>
  <r>
    <x v="23"/>
    <s v="2024-10"/>
    <s v="2024"/>
    <s v="10"/>
    <x v="5"/>
    <s v="Oman Air"/>
    <s v="Oman"/>
    <x v="0"/>
    <x v="0"/>
    <n v="35"/>
    <n v="206.94"/>
    <n v="61.44"/>
    <n v="0.2969"/>
    <n v="24.59"/>
    <n v="0.1188"/>
    <n v="0.32"/>
    <n v="0.624"/>
    <n v="9.59"/>
    <n v="94.78"/>
    <n v="112.52"/>
    <n v="6000"/>
    <n v="546000"/>
  </r>
  <r>
    <x v="24"/>
    <s v="2025-01"/>
    <s v="2025"/>
    <s v="01"/>
    <x v="6"/>
    <s v="Oman Air"/>
    <s v="Oman"/>
    <x v="0"/>
    <x v="0"/>
    <n v="35"/>
    <n v="195.5"/>
    <n v="55.44"/>
    <n v="0.28360000000000002"/>
    <n v="25.71"/>
    <n v="0.13150000000000001"/>
    <n v="0.36"/>
    <n v="6.5000000000000002E-2"/>
    <n v="0.46"/>
    <n v="85.13"/>
    <n v="101.54"/>
    <n v="6000"/>
    <n v="546000"/>
  </r>
  <r>
    <x v="25"/>
    <s v="2025-04"/>
    <s v="2025"/>
    <s v="04"/>
    <x v="6"/>
    <s v="Oman Air"/>
    <s v="Oman"/>
    <x v="0"/>
    <x v="0"/>
    <n v="35"/>
    <n v="213.21"/>
    <n v="65.75"/>
    <n v="0.30840000000000001"/>
    <n v="22.19"/>
    <n v="0.1041"/>
    <n v="0.38"/>
    <n v="7.0999999999999994E-2"/>
    <n v="1.58"/>
    <n v="101.77"/>
    <n v="120.43"/>
    <n v="6000"/>
    <n v="546000"/>
  </r>
  <r>
    <x v="26"/>
    <s v="2025-07"/>
    <s v="2025"/>
    <s v="07"/>
    <x v="6"/>
    <s v="Oman Air"/>
    <s v="Oman"/>
    <x v="0"/>
    <x v="0"/>
    <n v="35"/>
    <n v="211.69"/>
    <n v="61.27"/>
    <n v="0.28939999999999999"/>
    <n v="21.72"/>
    <n v="0.1026"/>
    <n v="0.36"/>
    <n v="0.36399999999999999"/>
    <n v="5.51"/>
    <n v="93.24"/>
    <n v="112.22"/>
    <n v="6000"/>
    <n v="546000"/>
  </r>
  <r>
    <x v="27"/>
    <s v="2025-10"/>
    <s v="2025"/>
    <s v="10"/>
    <x v="6"/>
    <s v="Oman Air"/>
    <s v="Oman"/>
    <x v="0"/>
    <x v="0"/>
    <n v="35"/>
    <n v="209.36"/>
    <n v="60.97"/>
    <n v="0.29120000000000001"/>
    <n v="14.61"/>
    <n v="6.9800000000000001E-2"/>
    <n v="0.39"/>
    <n v="0.2"/>
    <n v="2.94"/>
    <n v="99.34"/>
    <n v="111.67"/>
    <n v="6000"/>
    <n v="546000"/>
  </r>
  <r>
    <x v="28"/>
    <s v="2026-01"/>
    <s v="2026"/>
    <s v="01"/>
    <x v="7"/>
    <s v="Oman Air"/>
    <s v="Oman"/>
    <x v="0"/>
    <x v="0"/>
    <n v="35"/>
    <n v="143.85"/>
    <n v="80.150000000000006"/>
    <n v="0.55720000000000003"/>
    <n v="-35.619999999999997"/>
    <n v="-0.24760000000000001"/>
    <n v="0.26"/>
    <n v="0.55399999999999994"/>
    <n v="28.02"/>
    <n v="130.88"/>
    <n v="146.80000000000001"/>
    <n v="6000"/>
    <n v="546000"/>
  </r>
  <r>
    <x v="0"/>
    <s v="2019-01"/>
    <s v="2019"/>
    <s v="01"/>
    <x v="0"/>
    <s v="Saudia"/>
    <s v="Saudi Arabia"/>
    <x v="0"/>
    <x v="0"/>
    <n v="148"/>
    <n v="1255.99"/>
    <n v="203.6"/>
    <n v="0.16210000000000002"/>
    <n v="142.80000000000001"/>
    <n v="0.1137"/>
    <n v="1.35"/>
    <n v="0.312"/>
    <n v="0"/>
    <n v="63"/>
    <n v="74.58"/>
    <n v="30000"/>
    <n v="2730000"/>
  </r>
  <r>
    <x v="1"/>
    <s v="2019-04"/>
    <s v="2019"/>
    <s v="04"/>
    <x v="0"/>
    <s v="Saudia"/>
    <s v="Saudi Arabia"/>
    <x v="0"/>
    <x v="0"/>
    <n v="148"/>
    <n v="1246.5899999999999"/>
    <n v="200.22"/>
    <n v="0.16059999999999999"/>
    <n v="76.36"/>
    <n v="6.13E-2"/>
    <n v="1.5"/>
    <n v="0.27200000000000002"/>
    <n v="0"/>
    <n v="64.790000000000006"/>
    <n v="73.34"/>
    <n v="30000"/>
    <n v="2730000"/>
  </r>
  <r>
    <x v="2"/>
    <s v="2019-07"/>
    <s v="2019"/>
    <s v="07"/>
    <x v="0"/>
    <s v="Saudia"/>
    <s v="Saudi Arabia"/>
    <x v="0"/>
    <x v="0"/>
    <n v="148"/>
    <n v="1239.4000000000001"/>
    <n v="194.13"/>
    <n v="0.15659999999999999"/>
    <n v="113.41"/>
    <n v="9.1499999999999998E-2"/>
    <n v="1.5"/>
    <n v="0.21600000000000003"/>
    <n v="0"/>
    <n v="60.46"/>
    <n v="71.11"/>
    <n v="30000"/>
    <n v="2730000"/>
  </r>
  <r>
    <x v="3"/>
    <s v="2019-10"/>
    <s v="2019"/>
    <s v="10"/>
    <x v="0"/>
    <s v="Saudia"/>
    <s v="Saudi Arabia"/>
    <x v="0"/>
    <x v="0"/>
    <n v="148"/>
    <n v="1258.8699999999999"/>
    <n v="210.13"/>
    <n v="0.16690000000000002"/>
    <n v="131.37"/>
    <n v="0.10439999999999999"/>
    <n v="1.51"/>
    <n v="0.55799999999999994"/>
    <n v="0"/>
    <n v="65.66"/>
    <n v="76.97"/>
    <n v="30000"/>
    <n v="2730000"/>
  </r>
  <r>
    <x v="4"/>
    <s v="2020-01"/>
    <s v="2020"/>
    <s v="01"/>
    <x v="0"/>
    <s v="Saudia"/>
    <s v="Saudi Arabia"/>
    <x v="0"/>
    <x v="0"/>
    <n v="148"/>
    <n v="1346.03"/>
    <n v="205.79"/>
    <n v="0.15289999999999998"/>
    <n v="78.63"/>
    <n v="5.8400000000000001E-2"/>
    <n v="1.57"/>
    <n v="0.53500000000000003"/>
    <n v="0"/>
    <n v="66.66"/>
    <n v="75.38"/>
    <n v="30000"/>
    <n v="2730000"/>
  </r>
  <r>
    <x v="5"/>
    <s v="2020-04"/>
    <s v="2020"/>
    <s v="04"/>
    <x v="1"/>
    <s v="Saudia"/>
    <s v="Saudi Arabia"/>
    <x v="0"/>
    <x v="0"/>
    <n v="148"/>
    <n v="415.88"/>
    <n v="64.67"/>
    <n v="0.1555"/>
    <n v="-145.15"/>
    <n v="-0.34899999999999998"/>
    <n v="0.45"/>
    <n v="0.10099999999999999"/>
    <n v="0"/>
    <n v="20.57"/>
    <n v="23.69"/>
    <n v="30000"/>
    <n v="2730000"/>
  </r>
  <r>
    <x v="6"/>
    <s v="2020-07"/>
    <s v="2020"/>
    <s v="07"/>
    <x v="1"/>
    <s v="Saudia"/>
    <s v="Saudi Arabia"/>
    <x v="0"/>
    <x v="0"/>
    <n v="148"/>
    <n v="395.9"/>
    <n v="137.66999999999999"/>
    <n v="0.3478"/>
    <n v="-105.19"/>
    <n v="-0.26569999999999999"/>
    <n v="0.4"/>
    <n v="1.3000000000000001E-2"/>
    <n v="0"/>
    <n v="44.05"/>
    <n v="50.43"/>
    <n v="30000"/>
    <n v="2730000"/>
  </r>
  <r>
    <x v="7"/>
    <s v="2020-10"/>
    <s v="2020"/>
    <s v="10"/>
    <x v="1"/>
    <s v="Saudia"/>
    <s v="Saudi Arabia"/>
    <x v="0"/>
    <x v="0"/>
    <n v="148"/>
    <n v="442.45"/>
    <n v="124.65"/>
    <n v="0.28170000000000001"/>
    <n v="-197.19"/>
    <n v="-0.44569999999999999"/>
    <n v="0.5"/>
    <n v="0.29499999999999998"/>
    <n v="0"/>
    <n v="39.950000000000003"/>
    <n v="45.66"/>
    <n v="30000"/>
    <n v="2730000"/>
  </r>
  <r>
    <x v="8"/>
    <s v="2021-01"/>
    <s v="2021"/>
    <s v="01"/>
    <x v="1"/>
    <s v="Saudia"/>
    <s v="Saudi Arabia"/>
    <x v="0"/>
    <x v="0"/>
    <n v="148"/>
    <n v="397.13"/>
    <n v="234.15"/>
    <n v="0.58960000000000001"/>
    <n v="-170"/>
    <n v="-0.42810000000000004"/>
    <n v="0.45"/>
    <n v="0.4"/>
    <n v="0"/>
    <n v="75.489999999999995"/>
    <n v="85.77"/>
    <n v="30000"/>
    <n v="2730000"/>
  </r>
  <r>
    <x v="9"/>
    <s v="2021-04"/>
    <s v="2021"/>
    <s v="04"/>
    <x v="1"/>
    <s v="Saudia"/>
    <s v="Saudi Arabia"/>
    <x v="0"/>
    <x v="0"/>
    <n v="148"/>
    <n v="416.93"/>
    <n v="248.21"/>
    <n v="0.59530000000000005"/>
    <n v="-133.57"/>
    <n v="-0.32040000000000002"/>
    <n v="0.48"/>
    <n v="0.28399999999999997"/>
    <n v="0.72"/>
    <n v="76.83"/>
    <n v="90.92"/>
    <n v="30000"/>
    <n v="2730000"/>
  </r>
  <r>
    <x v="10"/>
    <s v="2021-07"/>
    <s v="2021"/>
    <s v="07"/>
    <x v="2"/>
    <s v="Saudia"/>
    <s v="Saudi Arabia"/>
    <x v="0"/>
    <x v="0"/>
    <n v="148"/>
    <n v="1100.83"/>
    <n v="245.48"/>
    <n v="0.223"/>
    <n v="25.01"/>
    <n v="2.2700000000000001E-2"/>
    <n v="1.28"/>
    <n v="0.06"/>
    <n v="0"/>
    <n v="78.97"/>
    <n v="89.92"/>
    <n v="30000"/>
    <n v="2730000"/>
  </r>
  <r>
    <x v="11"/>
    <s v="2021-10"/>
    <s v="2021"/>
    <s v="10"/>
    <x v="2"/>
    <s v="Saudia"/>
    <s v="Saudi Arabia"/>
    <x v="0"/>
    <x v="0"/>
    <n v="148"/>
    <n v="965.32"/>
    <n v="284.60000000000002"/>
    <n v="0.29480000000000001"/>
    <n v="-40.18"/>
    <n v="-4.1599999999999998E-2"/>
    <n v="0.99"/>
    <n v="0.32899999999999996"/>
    <n v="14.83"/>
    <n v="86.82"/>
    <n v="104.25"/>
    <n v="30000"/>
    <n v="2730000"/>
  </r>
  <r>
    <x v="12"/>
    <s v="2022-01"/>
    <s v="2022"/>
    <s v="01"/>
    <x v="2"/>
    <s v="Saudia"/>
    <s v="Saudi Arabia"/>
    <x v="0"/>
    <x v="0"/>
    <n v="148"/>
    <n v="936.6"/>
    <n v="222.33"/>
    <n v="0.23739999999999997"/>
    <n v="9.16"/>
    <n v="9.7999999999999997E-3"/>
    <n v="1.03"/>
    <n v="0.10400000000000001"/>
    <n v="0"/>
    <n v="72.010000000000005"/>
    <n v="81.44"/>
    <n v="30000"/>
    <n v="2730000"/>
  </r>
  <r>
    <x v="13"/>
    <s v="2022-04"/>
    <s v="2022"/>
    <s v="04"/>
    <x v="3"/>
    <s v="Saudia"/>
    <s v="Saudi Arabia"/>
    <x v="0"/>
    <x v="0"/>
    <n v="148"/>
    <n v="1265.1199999999999"/>
    <n v="359.35"/>
    <n v="0.28399999999999997"/>
    <n v="112.4"/>
    <n v="8.8800000000000004E-2"/>
    <n v="1.5"/>
    <n v="0.31900000000000001"/>
    <n v="53.02"/>
    <n v="109.53"/>
    <n v="131.63"/>
    <n v="30000"/>
    <n v="2730000"/>
  </r>
  <r>
    <x v="14"/>
    <s v="2022-07"/>
    <s v="2022"/>
    <s v="07"/>
    <x v="3"/>
    <s v="Saudia"/>
    <s v="Saudi Arabia"/>
    <x v="0"/>
    <x v="0"/>
    <n v="148"/>
    <n v="1364.78"/>
    <n v="257.95999999999998"/>
    <n v="0.18899999999999997"/>
    <n v="109.57"/>
    <n v="8.0299999999999996E-2"/>
    <n v="1.37"/>
    <n v="0.39700000000000002"/>
    <n v="5.1100000000000003"/>
    <n v="80.69"/>
    <n v="94.49"/>
    <n v="30000"/>
    <n v="2730000"/>
  </r>
  <r>
    <x v="15"/>
    <s v="2022-10"/>
    <s v="2022"/>
    <s v="10"/>
    <x v="3"/>
    <s v="Saudia"/>
    <s v="Saudi Arabia"/>
    <x v="0"/>
    <x v="0"/>
    <n v="148"/>
    <n v="1379.18"/>
    <n v="288.18"/>
    <n v="0.2089"/>
    <n v="93.12"/>
    <n v="6.7500000000000004E-2"/>
    <n v="1.54"/>
    <n v="0.34499999999999997"/>
    <n v="17.190000000000001"/>
    <n v="93.25"/>
    <n v="105.56"/>
    <n v="30000"/>
    <n v="2730000"/>
  </r>
  <r>
    <x v="16"/>
    <s v="2023-01"/>
    <s v="2023"/>
    <s v="01"/>
    <x v="4"/>
    <s v="Saudia"/>
    <s v="Saudi Arabia"/>
    <x v="0"/>
    <x v="0"/>
    <n v="148"/>
    <n v="1320.84"/>
    <n v="265.16000000000003"/>
    <n v="0.20079999999999998"/>
    <n v="155.63999999999999"/>
    <n v="0.11779999999999999"/>
    <n v="1.5"/>
    <n v="0.14000000000000001"/>
    <n v="2.94"/>
    <n v="84.29"/>
    <n v="97.13"/>
    <n v="30000"/>
    <n v="2730000"/>
  </r>
  <r>
    <x v="17"/>
    <s v="2023-04"/>
    <s v="2023"/>
    <s v="04"/>
    <x v="4"/>
    <s v="Saudia"/>
    <s v="Saudi Arabia"/>
    <x v="0"/>
    <x v="0"/>
    <n v="148"/>
    <n v="1308.24"/>
    <n v="278.38"/>
    <n v="0.21280000000000002"/>
    <n v="121.49"/>
    <n v="9.2899999999999996E-2"/>
    <n v="1.42"/>
    <n v="0.154"/>
    <n v="5.7"/>
    <n v="88.18"/>
    <n v="101.97"/>
    <n v="30000"/>
    <n v="2730000"/>
  </r>
  <r>
    <x v="18"/>
    <s v="2023-07"/>
    <s v="2023"/>
    <s v="07"/>
    <x v="4"/>
    <s v="Saudia"/>
    <s v="Saudi Arabia"/>
    <x v="0"/>
    <x v="0"/>
    <n v="148"/>
    <n v="1256.08"/>
    <n v="266.23"/>
    <n v="0.21199999999999999"/>
    <n v="64.98"/>
    <n v="5.1699999999999996E-2"/>
    <n v="1.33"/>
    <n v="0.26200000000000001"/>
    <n v="5.83"/>
    <n v="85.16"/>
    <n v="97.52"/>
    <n v="30000"/>
    <n v="2730000"/>
  </r>
  <r>
    <x v="19"/>
    <s v="2023-10"/>
    <s v="2023"/>
    <s v="10"/>
    <x v="5"/>
    <s v="Saudia"/>
    <s v="Saudi Arabia"/>
    <x v="0"/>
    <x v="0"/>
    <n v="148"/>
    <n v="1350.41"/>
    <n v="245.59"/>
    <n v="0.18190000000000001"/>
    <n v="187.02"/>
    <n v="0.13849999999999998"/>
    <n v="1.61"/>
    <n v="0.52900000000000003"/>
    <n v="0"/>
    <n v="78.33"/>
    <n v="89.96"/>
    <n v="30000"/>
    <n v="2730000"/>
  </r>
  <r>
    <x v="20"/>
    <s v="2024-01"/>
    <s v="2024"/>
    <s v="01"/>
    <x v="5"/>
    <s v="Saudia"/>
    <s v="Saudi Arabia"/>
    <x v="0"/>
    <x v="0"/>
    <n v="148"/>
    <n v="1372.52"/>
    <n v="270.32"/>
    <n v="0.19699999999999998"/>
    <n v="136.71"/>
    <n v="9.9600000000000008E-2"/>
    <n v="1.44"/>
    <n v="0.307"/>
    <n v="8.32"/>
    <n v="84.61"/>
    <n v="99.02"/>
    <n v="30000"/>
    <n v="2730000"/>
  </r>
  <r>
    <x v="21"/>
    <s v="2024-04"/>
    <s v="2024"/>
    <s v="04"/>
    <x v="5"/>
    <s v="Saudia"/>
    <s v="Saudi Arabia"/>
    <x v="0"/>
    <x v="0"/>
    <n v="148"/>
    <n v="1259.0899999999999"/>
    <n v="277.86"/>
    <n v="0.22070000000000001"/>
    <n v="121.68"/>
    <n v="9.6600000000000005E-2"/>
    <n v="1.26"/>
    <n v="0.12300000000000001"/>
    <n v="4.47"/>
    <n v="84.06"/>
    <n v="101.78"/>
    <n v="30000"/>
    <n v="2730000"/>
  </r>
  <r>
    <x v="22"/>
    <s v="2024-07"/>
    <s v="2024"/>
    <s v="07"/>
    <x v="5"/>
    <s v="Saudia"/>
    <s v="Saudi Arabia"/>
    <x v="0"/>
    <x v="0"/>
    <n v="148"/>
    <n v="1355.38"/>
    <n v="256.57"/>
    <n v="0.1893"/>
    <n v="91.74"/>
    <n v="6.7699999999999996E-2"/>
    <n v="1.47"/>
    <n v="0.54100000000000004"/>
    <n v="6.14"/>
    <n v="80.400000000000006"/>
    <n v="93.98"/>
    <n v="30000"/>
    <n v="2730000"/>
  </r>
  <r>
    <x v="23"/>
    <s v="2024-10"/>
    <s v="2024"/>
    <s v="10"/>
    <x v="5"/>
    <s v="Saudia"/>
    <s v="Saudi Arabia"/>
    <x v="0"/>
    <x v="0"/>
    <n v="148"/>
    <n v="1242.53"/>
    <n v="307.18"/>
    <n v="0.24719999999999998"/>
    <n v="52.53"/>
    <n v="4.2300000000000004E-2"/>
    <n v="1.3"/>
    <n v="0.44500000000000001"/>
    <n v="34.200000000000003"/>
    <n v="94.78"/>
    <n v="112.52"/>
    <n v="30000"/>
    <n v="2730000"/>
  </r>
  <r>
    <x v="24"/>
    <s v="2025-01"/>
    <s v="2025"/>
    <s v="01"/>
    <x v="6"/>
    <s v="Saudia"/>
    <s v="Saudi Arabia"/>
    <x v="0"/>
    <x v="0"/>
    <n v="148"/>
    <n v="1274.9000000000001"/>
    <n v="277.2"/>
    <n v="0.21739999999999998"/>
    <n v="161.11000000000001"/>
    <n v="0.12640000000000001"/>
    <n v="1.37"/>
    <n v="0.184"/>
    <n v="6.54"/>
    <n v="85.13"/>
    <n v="101.54"/>
    <n v="30000"/>
    <n v="2730000"/>
  </r>
  <r>
    <x v="25"/>
    <s v="2025-04"/>
    <s v="2025"/>
    <s v="04"/>
    <x v="6"/>
    <s v="Saudia"/>
    <s v="Saudi Arabia"/>
    <x v="0"/>
    <x v="0"/>
    <n v="148"/>
    <n v="1274.3599999999999"/>
    <n v="328.77"/>
    <n v="0.25800000000000001"/>
    <n v="124.12"/>
    <n v="9.74E-2"/>
    <n v="1.51"/>
    <n v="0.26400000000000001"/>
    <n v="29.35"/>
    <n v="101.77"/>
    <n v="120.43"/>
    <n v="30000"/>
    <n v="2730000"/>
  </r>
  <r>
    <x v="26"/>
    <s v="2025-07"/>
    <s v="2025"/>
    <s v="07"/>
    <x v="6"/>
    <s v="Saudia"/>
    <s v="Saudi Arabia"/>
    <x v="0"/>
    <x v="0"/>
    <n v="148"/>
    <n v="1277.68"/>
    <n v="306.36"/>
    <n v="0.23980000000000001"/>
    <n v="104.88"/>
    <n v="8.2100000000000006E-2"/>
    <n v="1.53"/>
    <n v="0.217"/>
    <n v="16.41"/>
    <n v="93.24"/>
    <n v="112.22"/>
    <n v="30000"/>
    <n v="2730000"/>
  </r>
  <r>
    <x v="27"/>
    <s v="2025-10"/>
    <s v="2025"/>
    <s v="10"/>
    <x v="6"/>
    <s v="Saudia"/>
    <s v="Saudi Arabia"/>
    <x v="0"/>
    <x v="0"/>
    <n v="148"/>
    <n v="1345.82"/>
    <n v="304.86"/>
    <n v="0.22649999999999998"/>
    <n v="98.21"/>
    <n v="7.2999999999999995E-2"/>
    <n v="1.54"/>
    <n v="0.57299999999999995"/>
    <n v="42.06"/>
    <n v="99.34"/>
    <n v="111.67"/>
    <n v="30000"/>
    <n v="2730000"/>
  </r>
  <r>
    <x v="28"/>
    <s v="2026-01"/>
    <s v="2026"/>
    <s v="01"/>
    <x v="7"/>
    <s v="Saudia"/>
    <s v="Saudi Arabia"/>
    <x v="0"/>
    <x v="0"/>
    <n v="148"/>
    <n v="844.53"/>
    <n v="400.76"/>
    <n v="0.47450000000000003"/>
    <n v="-51.1"/>
    <n v="-6.0499999999999998E-2"/>
    <n v="0.95"/>
    <n v="0.63400000000000001"/>
    <n v="160.36000000000001"/>
    <n v="130.88"/>
    <n v="146.80000000000001"/>
    <n v="30000"/>
    <n v="2730000"/>
  </r>
  <r>
    <x v="0"/>
    <s v="2019-01"/>
    <s v="2019"/>
    <s v="01"/>
    <x v="0"/>
    <s v="flynas"/>
    <s v="Saudi Arabia"/>
    <x v="0"/>
    <x v="1"/>
    <n v="43"/>
    <n v="234.92"/>
    <n v="54.29"/>
    <n v="0.2311"/>
    <n v="24.73"/>
    <n v="0.10529999999999999"/>
    <n v="0.46"/>
    <n v="5.4000000000000006E-2"/>
    <n v="0"/>
    <n v="63"/>
    <n v="74.58"/>
    <n v="8000"/>
    <n v="728000"/>
  </r>
  <r>
    <x v="1"/>
    <s v="2019-04"/>
    <s v="2019"/>
    <s v="04"/>
    <x v="0"/>
    <s v="flynas"/>
    <s v="Saudi Arabia"/>
    <x v="0"/>
    <x v="1"/>
    <n v="43"/>
    <n v="221.27"/>
    <n v="53.39"/>
    <n v="0.24129999999999999"/>
    <n v="13.63"/>
    <n v="6.1600000000000002E-2"/>
    <n v="0.38"/>
    <n v="0.37799999999999995"/>
    <n v="0"/>
    <n v="64.790000000000006"/>
    <n v="73.34"/>
    <n v="8000"/>
    <n v="728000"/>
  </r>
  <r>
    <x v="2"/>
    <s v="2019-07"/>
    <s v="2019"/>
    <s v="07"/>
    <x v="0"/>
    <s v="flynas"/>
    <s v="Saudi Arabia"/>
    <x v="0"/>
    <x v="1"/>
    <n v="43"/>
    <n v="217.58"/>
    <n v="51.77"/>
    <n v="0.2379"/>
    <n v="14.42"/>
    <n v="6.6299999999999998E-2"/>
    <n v="0.39"/>
    <n v="0.26899999999999996"/>
    <n v="0"/>
    <n v="60.46"/>
    <n v="71.11"/>
    <n v="8000"/>
    <n v="728000"/>
  </r>
  <r>
    <x v="3"/>
    <s v="2019-10"/>
    <s v="2019"/>
    <s v="10"/>
    <x v="0"/>
    <s v="flynas"/>
    <s v="Saudi Arabia"/>
    <x v="0"/>
    <x v="1"/>
    <n v="43"/>
    <n v="236.2"/>
    <n v="56.03"/>
    <n v="0.23719999999999999"/>
    <n v="23.73"/>
    <n v="0.10050000000000001"/>
    <n v="0.46"/>
    <n v="0.191"/>
    <n v="0"/>
    <n v="65.66"/>
    <n v="76.97"/>
    <n v="8000"/>
    <n v="728000"/>
  </r>
  <r>
    <x v="4"/>
    <s v="2020-01"/>
    <s v="2020"/>
    <s v="01"/>
    <x v="0"/>
    <s v="flynas"/>
    <s v="Saudi Arabia"/>
    <x v="0"/>
    <x v="1"/>
    <n v="43"/>
    <n v="242.88"/>
    <n v="54.88"/>
    <n v="0.22589999999999999"/>
    <n v="13.85"/>
    <n v="5.7000000000000002E-2"/>
    <n v="0.44"/>
    <n v="0.34100000000000003"/>
    <n v="0"/>
    <n v="66.66"/>
    <n v="75.38"/>
    <n v="8000"/>
    <n v="728000"/>
  </r>
  <r>
    <x v="5"/>
    <s v="2020-04"/>
    <s v="2020"/>
    <s v="04"/>
    <x v="1"/>
    <s v="flynas"/>
    <s v="Saudi Arabia"/>
    <x v="0"/>
    <x v="1"/>
    <n v="43"/>
    <n v="44.85"/>
    <n v="17.25"/>
    <n v="0.38450000000000001"/>
    <n v="-11.76"/>
    <n v="-0.26229999999999998"/>
    <n v="0.08"/>
    <n v="0.11199999999999999"/>
    <n v="0"/>
    <n v="20.57"/>
    <n v="23.69"/>
    <n v="8000"/>
    <n v="728000"/>
  </r>
  <r>
    <x v="6"/>
    <s v="2020-07"/>
    <s v="2020"/>
    <s v="07"/>
    <x v="1"/>
    <s v="flynas"/>
    <s v="Saudi Arabia"/>
    <x v="0"/>
    <x v="1"/>
    <n v="43"/>
    <n v="51.9"/>
    <n v="36.71"/>
    <n v="0.70739999999999992"/>
    <n v="-13.17"/>
    <n v="-0.25379999999999997"/>
    <n v="0.09"/>
    <n v="0.23100000000000001"/>
    <n v="0"/>
    <n v="44.05"/>
    <n v="50.43"/>
    <n v="8000"/>
    <n v="728000"/>
  </r>
  <r>
    <x v="7"/>
    <s v="2020-10"/>
    <s v="2020"/>
    <s v="10"/>
    <x v="1"/>
    <s v="flynas"/>
    <s v="Saudi Arabia"/>
    <x v="0"/>
    <x v="1"/>
    <n v="43"/>
    <n v="67.11"/>
    <n v="33.24"/>
    <n v="0.49530000000000002"/>
    <n v="-17.59"/>
    <n v="-0.2621"/>
    <n v="0.12"/>
    <n v="0.21299999999999999"/>
    <n v="0"/>
    <n v="39.950000000000003"/>
    <n v="45.66"/>
    <n v="8000"/>
    <n v="728000"/>
  </r>
  <r>
    <x v="8"/>
    <s v="2021-01"/>
    <s v="2021"/>
    <s v="01"/>
    <x v="1"/>
    <s v="flynas"/>
    <s v="Saudi Arabia"/>
    <x v="0"/>
    <x v="1"/>
    <n v="43"/>
    <n v="72.3"/>
    <n v="62.44"/>
    <n v="0.86360000000000003"/>
    <n v="-28.77"/>
    <n v="-0.39789999999999998"/>
    <n v="0.15"/>
    <n v="0.19699999999999998"/>
    <n v="0"/>
    <n v="75.489999999999995"/>
    <n v="85.77"/>
    <n v="8000"/>
    <n v="728000"/>
  </r>
  <r>
    <x v="9"/>
    <s v="2021-04"/>
    <s v="2021"/>
    <s v="04"/>
    <x v="1"/>
    <s v="flynas"/>
    <s v="Saudi Arabia"/>
    <x v="0"/>
    <x v="1"/>
    <n v="43"/>
    <n v="46.15"/>
    <n v="66.19"/>
    <n v="1.4343999999999999"/>
    <n v="-20.74"/>
    <n v="-0.44939999999999997"/>
    <n v="0.08"/>
    <n v="0.315"/>
    <n v="0.21"/>
    <n v="76.83"/>
    <n v="90.92"/>
    <n v="8000"/>
    <n v="728000"/>
  </r>
  <r>
    <x v="10"/>
    <s v="2021-07"/>
    <s v="2021"/>
    <s v="07"/>
    <x v="2"/>
    <s v="flynas"/>
    <s v="Saudi Arabia"/>
    <x v="0"/>
    <x v="1"/>
    <n v="43"/>
    <n v="175.47"/>
    <n v="65.459999999999994"/>
    <n v="0.37310000000000004"/>
    <n v="-3.15"/>
    <n v="-1.8000000000000002E-2"/>
    <n v="0.35"/>
    <n v="0.34200000000000003"/>
    <n v="0"/>
    <n v="78.97"/>
    <n v="89.92"/>
    <n v="8000"/>
    <n v="728000"/>
  </r>
  <r>
    <x v="11"/>
    <s v="2021-10"/>
    <s v="2021"/>
    <s v="10"/>
    <x v="2"/>
    <s v="flynas"/>
    <s v="Saudi Arabia"/>
    <x v="0"/>
    <x v="1"/>
    <n v="43"/>
    <n v="158.37"/>
    <n v="75.89"/>
    <n v="0.47920000000000001"/>
    <n v="-1.1200000000000001"/>
    <n v="-7.0999999999999995E-3"/>
    <n v="0.28000000000000003"/>
    <n v="0.27500000000000002"/>
    <n v="3.3"/>
    <n v="86.82"/>
    <n v="104.25"/>
    <n v="8000"/>
    <n v="728000"/>
  </r>
  <r>
    <x v="12"/>
    <s v="2022-01"/>
    <s v="2022"/>
    <s v="01"/>
    <x v="2"/>
    <s v="flynas"/>
    <s v="Saudi Arabia"/>
    <x v="0"/>
    <x v="1"/>
    <n v="43"/>
    <n v="177.8"/>
    <n v="59.29"/>
    <n v="0.33350000000000002"/>
    <n v="0.26"/>
    <n v="1.5E-3"/>
    <n v="0.35"/>
    <n v="0.39700000000000002"/>
    <n v="0"/>
    <n v="72.010000000000005"/>
    <n v="81.44"/>
    <n v="8000"/>
    <n v="728000"/>
  </r>
  <r>
    <x v="13"/>
    <s v="2022-04"/>
    <s v="2022"/>
    <s v="04"/>
    <x v="3"/>
    <s v="flynas"/>
    <s v="Saudi Arabia"/>
    <x v="0"/>
    <x v="1"/>
    <n v="43"/>
    <n v="230.04"/>
    <n v="95.83"/>
    <n v="0.41659999999999997"/>
    <n v="16.55"/>
    <n v="7.1900000000000006E-2"/>
    <n v="0.42"/>
    <n v="5.4000000000000006E-2"/>
    <n v="2.39"/>
    <n v="109.53"/>
    <n v="131.63"/>
    <n v="8000"/>
    <n v="728000"/>
  </r>
  <r>
    <x v="14"/>
    <s v="2022-07"/>
    <s v="2022"/>
    <s v="07"/>
    <x v="3"/>
    <s v="flynas"/>
    <s v="Saudi Arabia"/>
    <x v="0"/>
    <x v="1"/>
    <n v="43"/>
    <n v="245.43"/>
    <n v="68.790000000000006"/>
    <n v="0.28029999999999999"/>
    <n v="20.07"/>
    <n v="8.1799999999999998E-2"/>
    <n v="0.47"/>
    <n v="0.06"/>
    <n v="0.21"/>
    <n v="80.69"/>
    <n v="94.49"/>
    <n v="8000"/>
    <n v="728000"/>
  </r>
  <r>
    <x v="15"/>
    <s v="2022-10"/>
    <s v="2022"/>
    <s v="10"/>
    <x v="3"/>
    <s v="flynas"/>
    <s v="Saudi Arabia"/>
    <x v="0"/>
    <x v="1"/>
    <n v="43"/>
    <n v="236.66"/>
    <n v="76.849999999999994"/>
    <n v="0.32469999999999999"/>
    <n v="17.420000000000002"/>
    <n v="7.3599999999999999E-2"/>
    <n v="0.44"/>
    <n v="0.26800000000000002"/>
    <n v="3.56"/>
    <n v="93.25"/>
    <n v="105.56"/>
    <n v="8000"/>
    <n v="728000"/>
  </r>
  <r>
    <x v="16"/>
    <s v="2023-01"/>
    <s v="2023"/>
    <s v="01"/>
    <x v="4"/>
    <s v="flynas"/>
    <s v="Saudi Arabia"/>
    <x v="0"/>
    <x v="1"/>
    <n v="43"/>
    <n v="240.61"/>
    <n v="70.709999999999994"/>
    <n v="0.29389999999999999"/>
    <n v="9.7899999999999991"/>
    <n v="4.07E-2"/>
    <n v="0.42"/>
    <n v="0.36299999999999999"/>
    <n v="2.0299999999999998"/>
    <n v="84.29"/>
    <n v="97.13"/>
    <n v="8000"/>
    <n v="728000"/>
  </r>
  <r>
    <x v="17"/>
    <s v="2023-04"/>
    <s v="2023"/>
    <s v="04"/>
    <x v="4"/>
    <s v="flynas"/>
    <s v="Saudi Arabia"/>
    <x v="0"/>
    <x v="1"/>
    <n v="43"/>
    <n v="213.99"/>
    <n v="74.23"/>
    <n v="0.34689999999999999"/>
    <n v="27.9"/>
    <n v="0.13039999999999999"/>
    <n v="0.36"/>
    <n v="0.32299999999999995"/>
    <n v="3.19"/>
    <n v="88.18"/>
    <n v="101.97"/>
    <n v="8000"/>
    <n v="728000"/>
  </r>
  <r>
    <x v="18"/>
    <s v="2023-07"/>
    <s v="2023"/>
    <s v="07"/>
    <x v="4"/>
    <s v="flynas"/>
    <s v="Saudi Arabia"/>
    <x v="0"/>
    <x v="1"/>
    <n v="43"/>
    <n v="239.81"/>
    <n v="70.989999999999995"/>
    <n v="0.29600000000000004"/>
    <n v="24.28"/>
    <n v="0.1013"/>
    <n v="0.46"/>
    <n v="6.8000000000000005E-2"/>
    <n v="0.4"/>
    <n v="85.16"/>
    <n v="97.52"/>
    <n v="8000"/>
    <n v="728000"/>
  </r>
  <r>
    <x v="19"/>
    <s v="2023-10"/>
    <s v="2023"/>
    <s v="10"/>
    <x v="5"/>
    <s v="flynas"/>
    <s v="Saudi Arabia"/>
    <x v="0"/>
    <x v="1"/>
    <n v="43"/>
    <n v="219.92"/>
    <n v="65.489999999999995"/>
    <n v="0.29780000000000001"/>
    <n v="28.58"/>
    <n v="0.12990000000000002"/>
    <n v="0.43"/>
    <n v="7.0999999999999994E-2"/>
    <n v="0"/>
    <n v="78.33"/>
    <n v="89.96"/>
    <n v="8000"/>
    <n v="728000"/>
  </r>
  <r>
    <x v="20"/>
    <s v="2024-01"/>
    <s v="2024"/>
    <s v="01"/>
    <x v="5"/>
    <s v="flynas"/>
    <s v="Saudi Arabia"/>
    <x v="0"/>
    <x v="1"/>
    <n v="43"/>
    <n v="237.53"/>
    <n v="72.09"/>
    <n v="0.30349999999999999"/>
    <n v="19.559999999999999"/>
    <n v="8.2299999999999998E-2"/>
    <n v="0.45"/>
    <n v="8.8000000000000009E-2"/>
    <n v="0.64"/>
    <n v="84.61"/>
    <n v="99.02"/>
    <n v="8000"/>
    <n v="728000"/>
  </r>
  <r>
    <x v="21"/>
    <s v="2024-04"/>
    <s v="2024"/>
    <s v="04"/>
    <x v="5"/>
    <s v="flynas"/>
    <s v="Saudi Arabia"/>
    <x v="0"/>
    <x v="1"/>
    <n v="43"/>
    <n v="225.41"/>
    <n v="74.099999999999994"/>
    <n v="0.32869999999999999"/>
    <n v="18.82"/>
    <n v="8.3499999999999991E-2"/>
    <n v="0.43"/>
    <n v="0.28000000000000003"/>
    <n v="2.72"/>
    <n v="84.06"/>
    <n v="101.78"/>
    <n v="8000"/>
    <n v="728000"/>
  </r>
  <r>
    <x v="22"/>
    <s v="2024-07"/>
    <s v="2024"/>
    <s v="07"/>
    <x v="5"/>
    <s v="flynas"/>
    <s v="Saudi Arabia"/>
    <x v="0"/>
    <x v="1"/>
    <n v="43"/>
    <n v="229.8"/>
    <n v="68.42"/>
    <n v="0.29770000000000002"/>
    <n v="9.91"/>
    <n v="4.3099999999999999E-2"/>
    <n v="0.4"/>
    <n v="0.106"/>
    <n v="0.32"/>
    <n v="80.400000000000006"/>
    <n v="93.98"/>
    <n v="8000"/>
    <n v="728000"/>
  </r>
  <r>
    <x v="23"/>
    <s v="2024-10"/>
    <s v="2024"/>
    <s v="10"/>
    <x v="5"/>
    <s v="flynas"/>
    <s v="Saudi Arabia"/>
    <x v="0"/>
    <x v="1"/>
    <n v="43"/>
    <n v="239.72"/>
    <n v="81.91"/>
    <n v="0.3417"/>
    <n v="31.2"/>
    <n v="0.13019999999999998"/>
    <n v="0.47"/>
    <n v="0.111"/>
    <n v="2.2799999999999998"/>
    <n v="94.78"/>
    <n v="112.52"/>
    <n v="8000"/>
    <n v="728000"/>
  </r>
  <r>
    <x v="24"/>
    <s v="2025-01"/>
    <s v="2025"/>
    <s v="01"/>
    <x v="6"/>
    <s v="flynas"/>
    <s v="Saudi Arabia"/>
    <x v="0"/>
    <x v="1"/>
    <n v="43"/>
    <n v="238.32"/>
    <n v="73.92"/>
    <n v="0.31019999999999998"/>
    <n v="14"/>
    <n v="5.8799999999999998E-2"/>
    <n v="0.45"/>
    <n v="0.307"/>
    <n v="2.91"/>
    <n v="85.13"/>
    <n v="101.54"/>
    <n v="8000"/>
    <n v="728000"/>
  </r>
  <r>
    <x v="25"/>
    <s v="2025-04"/>
    <s v="2025"/>
    <s v="04"/>
    <x v="6"/>
    <s v="flynas"/>
    <s v="Saudi Arabia"/>
    <x v="0"/>
    <x v="1"/>
    <n v="43"/>
    <n v="215.26"/>
    <n v="87.67"/>
    <n v="0.4073"/>
    <n v="21.48"/>
    <n v="9.98E-2"/>
    <n v="0.38"/>
    <n v="0.22399999999999998"/>
    <n v="6.64"/>
    <n v="101.77"/>
    <n v="120.43"/>
    <n v="8000"/>
    <n v="728000"/>
  </r>
  <r>
    <x v="26"/>
    <s v="2025-07"/>
    <s v="2025"/>
    <s v="07"/>
    <x v="6"/>
    <s v="flynas"/>
    <s v="Saudi Arabia"/>
    <x v="0"/>
    <x v="1"/>
    <n v="43"/>
    <n v="224.98"/>
    <n v="81.7"/>
    <n v="0.36310000000000003"/>
    <n v="24.45"/>
    <n v="0.10869999999999999"/>
    <n v="0.42"/>
    <n v="0.156"/>
    <n v="3.15"/>
    <n v="93.24"/>
    <n v="112.22"/>
    <n v="8000"/>
    <n v="728000"/>
  </r>
  <r>
    <x v="27"/>
    <s v="2025-10"/>
    <s v="2025"/>
    <s v="10"/>
    <x v="6"/>
    <s v="flynas"/>
    <s v="Saudi Arabia"/>
    <x v="0"/>
    <x v="1"/>
    <n v="43"/>
    <n v="240.38"/>
    <n v="81.3"/>
    <n v="0.3382"/>
    <n v="32.67"/>
    <n v="0.13589999999999999"/>
    <n v="0.47"/>
    <n v="0.253"/>
    <n v="4.95"/>
    <n v="99.34"/>
    <n v="111.67"/>
    <n v="8000"/>
    <n v="728000"/>
  </r>
  <r>
    <x v="28"/>
    <s v="2026-01"/>
    <s v="2026"/>
    <s v="01"/>
    <x v="7"/>
    <s v="flynas"/>
    <s v="Saudi Arabia"/>
    <x v="0"/>
    <x v="1"/>
    <n v="43"/>
    <n v="162.25"/>
    <n v="106.87"/>
    <n v="0.65870000000000006"/>
    <n v="-21.04"/>
    <n v="-0.12970000000000001"/>
    <n v="0.28000000000000003"/>
    <n v="5.5999999999999994E-2"/>
    <n v="3.78"/>
    <n v="130.88"/>
    <n v="146.80000000000001"/>
    <n v="8000"/>
    <n v="728000"/>
  </r>
  <r>
    <x v="0"/>
    <s v="2019-01"/>
    <s v="2019"/>
    <s v="01"/>
    <x v="0"/>
    <s v="Singapore Airlines"/>
    <s v="Singapore"/>
    <x v="1"/>
    <x v="0"/>
    <n v="147"/>
    <n v="4281.91"/>
    <n v="373.27"/>
    <n v="8.72E-2"/>
    <n v="493.48"/>
    <n v="0.1152"/>
    <n v="1.62"/>
    <n v="0.53600000000000003"/>
    <n v="0"/>
    <n v="63"/>
    <n v="74.58"/>
    <n v="55000"/>
    <n v="5005000"/>
  </r>
  <r>
    <x v="1"/>
    <s v="2019-04"/>
    <s v="2019"/>
    <s v="04"/>
    <x v="0"/>
    <s v="Singapore Airlines"/>
    <s v="Singapore"/>
    <x v="1"/>
    <x v="0"/>
    <n v="147"/>
    <n v="4235.8999999999996"/>
    <n v="367.07"/>
    <n v="8.6699999999999999E-2"/>
    <n v="250.05"/>
    <n v="5.9000000000000004E-2"/>
    <n v="1.5"/>
    <n v="0.28300000000000003"/>
    <n v="0"/>
    <n v="64.790000000000006"/>
    <n v="73.34"/>
    <n v="55000"/>
    <n v="5005000"/>
  </r>
  <r>
    <x v="2"/>
    <s v="2019-07"/>
    <s v="2019"/>
    <s v="07"/>
    <x v="0"/>
    <s v="Singapore Airlines"/>
    <s v="Singapore"/>
    <x v="1"/>
    <x v="0"/>
    <n v="147"/>
    <n v="4018.71"/>
    <n v="355.91"/>
    <n v="8.8599999999999998E-2"/>
    <n v="481.9"/>
    <n v="0.11990000000000001"/>
    <n v="1.3"/>
    <n v="0.41"/>
    <n v="0"/>
    <n v="60.46"/>
    <n v="71.11"/>
    <n v="55000"/>
    <n v="5005000"/>
  </r>
  <r>
    <x v="3"/>
    <s v="2019-10"/>
    <s v="2019"/>
    <s v="10"/>
    <x v="0"/>
    <s v="Singapore Airlines"/>
    <s v="Singapore"/>
    <x v="1"/>
    <x v="0"/>
    <n v="147"/>
    <n v="4220.53"/>
    <n v="385.23"/>
    <n v="9.1300000000000006E-2"/>
    <n v="296.95999999999998"/>
    <n v="7.0400000000000004E-2"/>
    <n v="1.45"/>
    <n v="7.5999999999999998E-2"/>
    <n v="0"/>
    <n v="65.66"/>
    <n v="76.97"/>
    <n v="55000"/>
    <n v="5005000"/>
  </r>
  <r>
    <x v="4"/>
    <s v="2020-01"/>
    <s v="2020"/>
    <s v="01"/>
    <x v="0"/>
    <s v="Singapore Airlines"/>
    <s v="Singapore"/>
    <x v="1"/>
    <x v="0"/>
    <n v="147"/>
    <n v="3908.61"/>
    <n v="377.28"/>
    <n v="9.6500000000000002E-2"/>
    <n v="161.43"/>
    <n v="4.1299999999999996E-2"/>
    <n v="1.27"/>
    <n v="0.56399999999999995"/>
    <n v="0"/>
    <n v="66.66"/>
    <n v="75.38"/>
    <n v="55000"/>
    <n v="5005000"/>
  </r>
  <r>
    <x v="5"/>
    <s v="2020-04"/>
    <s v="2020"/>
    <s v="04"/>
    <x v="1"/>
    <s v="Singapore Airlines"/>
    <s v="Singapore"/>
    <x v="1"/>
    <x v="0"/>
    <n v="147"/>
    <n v="1043.54"/>
    <n v="118.57"/>
    <n v="0.11359999999999999"/>
    <n v="-439.04"/>
    <n v="-0.42070000000000002"/>
    <n v="0.39"/>
    <n v="0.37"/>
    <n v="0"/>
    <n v="20.57"/>
    <n v="23.69"/>
    <n v="55000"/>
    <n v="5005000"/>
  </r>
  <r>
    <x v="6"/>
    <s v="2020-07"/>
    <s v="2020"/>
    <s v="07"/>
    <x v="1"/>
    <s v="Singapore Airlines"/>
    <s v="Singapore"/>
    <x v="1"/>
    <x v="0"/>
    <n v="147"/>
    <n v="637.87"/>
    <n v="252.4"/>
    <n v="0.3957"/>
    <n v="-165.41"/>
    <n v="-0.25929999999999997"/>
    <n v="0.22"/>
    <n v="0.34600000000000003"/>
    <n v="0"/>
    <n v="44.05"/>
    <n v="50.43"/>
    <n v="55000"/>
    <n v="5005000"/>
  </r>
  <r>
    <x v="7"/>
    <s v="2020-10"/>
    <s v="2020"/>
    <s v="10"/>
    <x v="1"/>
    <s v="Singapore Airlines"/>
    <s v="Singapore"/>
    <x v="1"/>
    <x v="0"/>
    <n v="147"/>
    <n v="1117.8499999999999"/>
    <n v="228.53"/>
    <n v="0.20440000000000003"/>
    <n v="-476.64"/>
    <n v="-0.4264"/>
    <n v="0.42"/>
    <n v="0.16600000000000001"/>
    <n v="0"/>
    <n v="39.950000000000003"/>
    <n v="45.66"/>
    <n v="55000"/>
    <n v="5005000"/>
  </r>
  <r>
    <x v="8"/>
    <s v="2021-01"/>
    <s v="2021"/>
    <s v="01"/>
    <x v="1"/>
    <s v="Singapore Airlines"/>
    <s v="Singapore"/>
    <x v="1"/>
    <x v="0"/>
    <n v="147"/>
    <n v="1124.9000000000001"/>
    <n v="429.28"/>
    <n v="0.38159999999999994"/>
    <n v="-265.60000000000002"/>
    <n v="-0.2361"/>
    <n v="0.38"/>
    <n v="0.40799999999999997"/>
    <n v="0"/>
    <n v="75.489999999999995"/>
    <n v="85.77"/>
    <n v="55000"/>
    <n v="5005000"/>
  </r>
  <r>
    <x v="9"/>
    <s v="2021-04"/>
    <s v="2021"/>
    <s v="04"/>
    <x v="1"/>
    <s v="Singapore Airlines"/>
    <s v="Singapore"/>
    <x v="1"/>
    <x v="0"/>
    <n v="147"/>
    <n v="1425.88"/>
    <n v="455.05"/>
    <n v="0.31909999999999999"/>
    <n v="-338"/>
    <n v="-0.23710000000000001"/>
    <n v="0.52"/>
    <n v="0.28600000000000003"/>
    <n v="1.33"/>
    <n v="76.83"/>
    <n v="90.92"/>
    <n v="55000"/>
    <n v="5005000"/>
  </r>
  <r>
    <x v="10"/>
    <s v="2021-07"/>
    <s v="2021"/>
    <s v="07"/>
    <x v="2"/>
    <s v="Singapore Airlines"/>
    <s v="Singapore"/>
    <x v="1"/>
    <x v="0"/>
    <n v="147"/>
    <n v="3035.04"/>
    <n v="450.05"/>
    <n v="0.14829999999999999"/>
    <n v="39.82"/>
    <n v="1.3100000000000001E-2"/>
    <n v="1.1000000000000001"/>
    <n v="9.4E-2"/>
    <n v="0"/>
    <n v="78.97"/>
    <n v="89.92"/>
    <n v="55000"/>
    <n v="5005000"/>
  </r>
  <r>
    <x v="11"/>
    <s v="2021-10"/>
    <s v="2021"/>
    <s v="10"/>
    <x v="2"/>
    <s v="Singapore Airlines"/>
    <s v="Singapore"/>
    <x v="1"/>
    <x v="0"/>
    <n v="147"/>
    <n v="3371.04"/>
    <n v="521.77"/>
    <n v="0.15479999999999999"/>
    <n v="-160.63"/>
    <n v="-4.7599999999999996E-2"/>
    <n v="1.1000000000000001"/>
    <n v="0.313"/>
    <n v="25.86"/>
    <n v="86.82"/>
    <n v="104.25"/>
    <n v="55000"/>
    <n v="5005000"/>
  </r>
  <r>
    <x v="12"/>
    <s v="2022-01"/>
    <s v="2022"/>
    <s v="01"/>
    <x v="2"/>
    <s v="Singapore Airlines"/>
    <s v="Singapore"/>
    <x v="1"/>
    <x v="0"/>
    <n v="147"/>
    <n v="2871.74"/>
    <n v="407.61"/>
    <n v="0.1419"/>
    <n v="-7.11"/>
    <n v="-2.5000000000000001E-3"/>
    <n v="0.97"/>
    <n v="0.17499999999999999"/>
    <n v="0"/>
    <n v="72.010000000000005"/>
    <n v="81.44"/>
    <n v="55000"/>
    <n v="5005000"/>
  </r>
  <r>
    <x v="13"/>
    <s v="2022-04"/>
    <s v="2022"/>
    <s v="04"/>
    <x v="3"/>
    <s v="Singapore Airlines"/>
    <s v="Singapore"/>
    <x v="1"/>
    <x v="0"/>
    <n v="147"/>
    <n v="4001.83"/>
    <n v="658.81"/>
    <n v="0.1646"/>
    <n v="241.8"/>
    <n v="6.0400000000000002E-2"/>
    <n v="1.39"/>
    <n v="0.52800000000000002"/>
    <n v="160.9"/>
    <n v="109.53"/>
    <n v="131.63"/>
    <n v="55000"/>
    <n v="5005000"/>
  </r>
  <r>
    <x v="14"/>
    <s v="2022-07"/>
    <s v="2022"/>
    <s v="07"/>
    <x v="3"/>
    <s v="Singapore Airlines"/>
    <s v="Singapore"/>
    <x v="1"/>
    <x v="0"/>
    <n v="147"/>
    <n v="3942.68"/>
    <n v="472.92"/>
    <n v="0.11990000000000001"/>
    <n v="167.77"/>
    <n v="4.2599999999999999E-2"/>
    <n v="1.37"/>
    <n v="3.1E-2"/>
    <n v="0.73"/>
    <n v="80.69"/>
    <n v="94.49"/>
    <n v="55000"/>
    <n v="5005000"/>
  </r>
  <r>
    <x v="15"/>
    <s v="2022-10"/>
    <s v="2022"/>
    <s v="10"/>
    <x v="3"/>
    <s v="Singapore Airlines"/>
    <s v="Singapore"/>
    <x v="1"/>
    <x v="0"/>
    <n v="147"/>
    <n v="3781.68"/>
    <n v="528.33000000000004"/>
    <n v="0.13970000000000002"/>
    <n v="318.60000000000002"/>
    <n v="8.4199999999999997E-2"/>
    <n v="1.31"/>
    <n v="4.2999999999999997E-2"/>
    <n v="3.93"/>
    <n v="93.25"/>
    <n v="105.56"/>
    <n v="55000"/>
    <n v="5005000"/>
  </r>
  <r>
    <x v="16"/>
    <s v="2023-01"/>
    <s v="2023"/>
    <s v="01"/>
    <x v="4"/>
    <s v="Singapore Airlines"/>
    <s v="Singapore"/>
    <x v="1"/>
    <x v="0"/>
    <n v="147"/>
    <n v="4129.72"/>
    <n v="486.14"/>
    <n v="0.1177"/>
    <n v="329.66"/>
    <n v="7.980000000000001E-2"/>
    <n v="1.36"/>
    <n v="0.24199999999999999"/>
    <n v="9.32"/>
    <n v="84.29"/>
    <n v="97.13"/>
    <n v="55000"/>
    <n v="5005000"/>
  </r>
  <r>
    <x v="17"/>
    <s v="2023-04"/>
    <s v="2023"/>
    <s v="04"/>
    <x v="4"/>
    <s v="Singapore Airlines"/>
    <s v="Singapore"/>
    <x v="1"/>
    <x v="0"/>
    <n v="147"/>
    <n v="3995.39"/>
    <n v="510.36"/>
    <n v="0.12770000000000001"/>
    <n v="339.23"/>
    <n v="8.4900000000000003E-2"/>
    <n v="1.36"/>
    <n v="0.39500000000000002"/>
    <n v="26.81"/>
    <n v="88.18"/>
    <n v="101.97"/>
    <n v="55000"/>
    <n v="5005000"/>
  </r>
  <r>
    <x v="18"/>
    <s v="2023-07"/>
    <s v="2023"/>
    <s v="07"/>
    <x v="4"/>
    <s v="Singapore Airlines"/>
    <s v="Singapore"/>
    <x v="1"/>
    <x v="0"/>
    <n v="147"/>
    <n v="4397.1400000000003"/>
    <n v="488.09"/>
    <n v="0.111"/>
    <n v="257.44"/>
    <n v="5.8499999999999996E-2"/>
    <n v="1.5"/>
    <n v="0.36499999999999999"/>
    <n v="14.89"/>
    <n v="85.16"/>
    <n v="97.52"/>
    <n v="55000"/>
    <n v="5005000"/>
  </r>
  <r>
    <x v="19"/>
    <s v="2023-10"/>
    <s v="2023"/>
    <s v="10"/>
    <x v="5"/>
    <s v="Singapore Airlines"/>
    <s v="Singapore"/>
    <x v="1"/>
    <x v="0"/>
    <n v="147"/>
    <n v="4186.55"/>
    <n v="450.25"/>
    <n v="0.1075"/>
    <n v="444.34"/>
    <n v="0.1061"/>
    <n v="1.39"/>
    <n v="0.41200000000000003"/>
    <n v="0"/>
    <n v="78.33"/>
    <n v="89.96"/>
    <n v="55000"/>
    <n v="5005000"/>
  </r>
  <r>
    <x v="20"/>
    <s v="2024-01"/>
    <s v="2024"/>
    <s v="01"/>
    <x v="5"/>
    <s v="Singapore Airlines"/>
    <s v="Singapore"/>
    <x v="1"/>
    <x v="0"/>
    <n v="147"/>
    <n v="4002.22"/>
    <n v="495.6"/>
    <n v="0.12380000000000001"/>
    <n v="210.3"/>
    <n v="5.2499999999999998E-2"/>
    <n v="1.48"/>
    <n v="0.308"/>
    <n v="15.3"/>
    <n v="84.61"/>
    <n v="99.02"/>
    <n v="55000"/>
    <n v="5005000"/>
  </r>
  <r>
    <x v="21"/>
    <s v="2024-04"/>
    <s v="2024"/>
    <s v="04"/>
    <x v="5"/>
    <s v="Singapore Airlines"/>
    <s v="Singapore"/>
    <x v="1"/>
    <x v="0"/>
    <n v="147"/>
    <n v="4106.75"/>
    <n v="509.41"/>
    <n v="0.124"/>
    <n v="545.59"/>
    <n v="0.13289999999999999"/>
    <n v="1.49"/>
    <n v="0.44"/>
    <n v="29.34"/>
    <n v="84.06"/>
    <n v="101.78"/>
    <n v="55000"/>
    <n v="5005000"/>
  </r>
  <r>
    <x v="22"/>
    <s v="2024-07"/>
    <s v="2024"/>
    <s v="07"/>
    <x v="5"/>
    <s v="Singapore Airlines"/>
    <s v="Singapore"/>
    <x v="1"/>
    <x v="0"/>
    <n v="147"/>
    <n v="3998.54"/>
    <n v="470.37"/>
    <n v="0.1176"/>
    <n v="243.61"/>
    <n v="6.0899999999999996E-2"/>
    <n v="1.39"/>
    <n v="0.42399999999999999"/>
    <n v="8.82"/>
    <n v="80.400000000000006"/>
    <n v="93.98"/>
    <n v="55000"/>
    <n v="5005000"/>
  </r>
  <r>
    <x v="23"/>
    <s v="2024-10"/>
    <s v="2024"/>
    <s v="10"/>
    <x v="5"/>
    <s v="Singapore Airlines"/>
    <s v="Singapore"/>
    <x v="1"/>
    <x v="0"/>
    <n v="147"/>
    <n v="4105.68"/>
    <n v="563.16"/>
    <n v="0.13720000000000002"/>
    <n v="190.58"/>
    <n v="4.6399999999999997E-2"/>
    <n v="1.48"/>
    <n v="0.503"/>
    <n v="70.88"/>
    <n v="94.78"/>
    <n v="112.52"/>
    <n v="55000"/>
    <n v="5005000"/>
  </r>
  <r>
    <x v="24"/>
    <s v="2025-01"/>
    <s v="2025"/>
    <s v="01"/>
    <x v="6"/>
    <s v="Singapore Airlines"/>
    <s v="Singapore"/>
    <x v="1"/>
    <x v="0"/>
    <n v="147"/>
    <n v="4398.3100000000004"/>
    <n v="508.21"/>
    <n v="0.11550000000000001"/>
    <n v="355.72"/>
    <n v="8.09E-2"/>
    <n v="1.46"/>
    <n v="0.60199999999999998"/>
    <n v="39.229999999999997"/>
    <n v="85.13"/>
    <n v="101.54"/>
    <n v="55000"/>
    <n v="5005000"/>
  </r>
  <r>
    <x v="25"/>
    <s v="2025-04"/>
    <s v="2025"/>
    <s v="04"/>
    <x v="6"/>
    <s v="Singapore Airlines"/>
    <s v="Singapore"/>
    <x v="1"/>
    <x v="0"/>
    <n v="147"/>
    <n v="4276.17"/>
    <n v="602.75"/>
    <n v="0.14099999999999999"/>
    <n v="198.41"/>
    <n v="4.6399999999999997E-2"/>
    <n v="1.51"/>
    <n v="1.9E-2"/>
    <n v="3.87"/>
    <n v="101.77"/>
    <n v="120.43"/>
    <n v="55000"/>
    <n v="5005000"/>
  </r>
  <r>
    <x v="26"/>
    <s v="2025-07"/>
    <s v="2025"/>
    <s v="07"/>
    <x v="6"/>
    <s v="Singapore Airlines"/>
    <s v="Singapore"/>
    <x v="1"/>
    <x v="0"/>
    <n v="147"/>
    <n v="4015.74"/>
    <n v="561.66"/>
    <n v="0.1399"/>
    <n v="189.12"/>
    <n v="4.7100000000000003E-2"/>
    <n v="1.31"/>
    <n v="0.318"/>
    <n v="44.1"/>
    <n v="93.24"/>
    <n v="112.22"/>
    <n v="55000"/>
    <n v="5005000"/>
  </r>
  <r>
    <x v="27"/>
    <s v="2025-10"/>
    <s v="2025"/>
    <s v="10"/>
    <x v="6"/>
    <s v="Singapore Airlines"/>
    <s v="Singapore"/>
    <x v="1"/>
    <x v="0"/>
    <n v="147"/>
    <n v="4054.3"/>
    <n v="558.91"/>
    <n v="0.13789999999999999"/>
    <n v="197.85"/>
    <n v="4.8799999999999996E-2"/>
    <n v="1.41"/>
    <n v="0.46100000000000002"/>
    <n v="62.04"/>
    <n v="99.34"/>
    <n v="111.67"/>
    <n v="55000"/>
    <n v="5005000"/>
  </r>
  <r>
    <x v="28"/>
    <s v="2026-01"/>
    <s v="2026"/>
    <s v="01"/>
    <x v="7"/>
    <s v="Singapore Airlines"/>
    <s v="Singapore"/>
    <x v="1"/>
    <x v="0"/>
    <n v="147"/>
    <n v="2913.56"/>
    <n v="734.73"/>
    <n v="0.25219999999999998"/>
    <n v="-214.2"/>
    <n v="-7.3499999999999996E-2"/>
    <n v="1.04"/>
    <n v="0.33799999999999997"/>
    <n v="156.72999999999999"/>
    <n v="130.88"/>
    <n v="146.80000000000001"/>
    <n v="55000"/>
    <n v="5005000"/>
  </r>
  <r>
    <x v="0"/>
    <s v="2019-01"/>
    <s v="2019"/>
    <s v="01"/>
    <x v="0"/>
    <s v="Cathay Pacific"/>
    <s v="Hong Kong"/>
    <x v="1"/>
    <x v="0"/>
    <n v="230"/>
    <n v="2804.26"/>
    <n v="325.77"/>
    <n v="0.1162"/>
    <n v="222.46"/>
    <n v="7.9299999999999995E-2"/>
    <n v="2.16"/>
    <n v="7.4999999999999997E-2"/>
    <n v="0"/>
    <n v="63"/>
    <n v="74.58"/>
    <n v="48000"/>
    <n v="4368000"/>
  </r>
  <r>
    <x v="1"/>
    <s v="2019-04"/>
    <s v="2019"/>
    <s v="04"/>
    <x v="0"/>
    <s v="Cathay Pacific"/>
    <s v="Hong Kong"/>
    <x v="1"/>
    <x v="0"/>
    <n v="230"/>
    <n v="2688.84"/>
    <n v="320.35000000000002"/>
    <n v="0.1191"/>
    <n v="190.59"/>
    <n v="7.0900000000000005E-2"/>
    <n v="2.21"/>
    <n v="0.187"/>
    <n v="0"/>
    <n v="64.790000000000006"/>
    <n v="73.34"/>
    <n v="48000"/>
    <n v="4368000"/>
  </r>
  <r>
    <x v="2"/>
    <s v="2019-07"/>
    <s v="2019"/>
    <s v="07"/>
    <x v="0"/>
    <s v="Cathay Pacific"/>
    <s v="Hong Kong"/>
    <x v="1"/>
    <x v="0"/>
    <n v="230"/>
    <n v="2955.66"/>
    <n v="310.61"/>
    <n v="0.1051"/>
    <n v="230.63"/>
    <n v="7.8E-2"/>
    <n v="2.42"/>
    <n v="0.28100000000000003"/>
    <n v="0"/>
    <n v="60.46"/>
    <n v="71.11"/>
    <n v="48000"/>
    <n v="4368000"/>
  </r>
  <r>
    <x v="3"/>
    <s v="2019-10"/>
    <s v="2019"/>
    <s v="10"/>
    <x v="0"/>
    <s v="Cathay Pacific"/>
    <s v="Hong Kong"/>
    <x v="1"/>
    <x v="0"/>
    <n v="230"/>
    <n v="2841.21"/>
    <n v="336.2"/>
    <n v="0.1183"/>
    <n v="184.72"/>
    <n v="6.5000000000000002E-2"/>
    <n v="2.27"/>
    <n v="7.2000000000000008E-2"/>
    <n v="0"/>
    <n v="65.66"/>
    <n v="76.97"/>
    <n v="48000"/>
    <n v="4368000"/>
  </r>
  <r>
    <x v="4"/>
    <s v="2020-01"/>
    <s v="2020"/>
    <s v="01"/>
    <x v="0"/>
    <s v="Cathay Pacific"/>
    <s v="Hong Kong"/>
    <x v="1"/>
    <x v="0"/>
    <n v="230"/>
    <n v="2800.78"/>
    <n v="329.26"/>
    <n v="0.1176"/>
    <n v="237.59"/>
    <n v="8.48E-2"/>
    <n v="2.3199999999999998"/>
    <n v="0.26"/>
    <n v="0"/>
    <n v="66.66"/>
    <n v="75.38"/>
    <n v="48000"/>
    <n v="4368000"/>
  </r>
  <r>
    <x v="5"/>
    <s v="2020-04"/>
    <s v="2020"/>
    <s v="04"/>
    <x v="1"/>
    <s v="Cathay Pacific"/>
    <s v="Hong Kong"/>
    <x v="1"/>
    <x v="0"/>
    <n v="230"/>
    <n v="792.64"/>
    <n v="103.48"/>
    <n v="0.1305"/>
    <n v="-322.08999999999997"/>
    <n v="-0.40630000000000005"/>
    <n v="0.56999999999999995"/>
    <n v="0.32899999999999996"/>
    <n v="0"/>
    <n v="20.57"/>
    <n v="23.69"/>
    <n v="48000"/>
    <n v="4368000"/>
  </r>
  <r>
    <x v="6"/>
    <s v="2020-07"/>
    <s v="2020"/>
    <s v="07"/>
    <x v="1"/>
    <s v="Cathay Pacific"/>
    <s v="Hong Kong"/>
    <x v="1"/>
    <x v="0"/>
    <n v="230"/>
    <n v="685.37"/>
    <n v="220.28"/>
    <n v="0.32140000000000002"/>
    <n v="-193.66"/>
    <n v="-0.28260000000000002"/>
    <n v="0.53"/>
    <n v="1.9E-2"/>
    <n v="0"/>
    <n v="44.05"/>
    <n v="50.43"/>
    <n v="48000"/>
    <n v="4368000"/>
  </r>
  <r>
    <x v="7"/>
    <s v="2020-10"/>
    <s v="2020"/>
    <s v="10"/>
    <x v="1"/>
    <s v="Cathay Pacific"/>
    <s v="Hong Kong"/>
    <x v="1"/>
    <x v="0"/>
    <n v="230"/>
    <n v="825.2"/>
    <n v="199.44"/>
    <n v="0.24170000000000003"/>
    <n v="-176.96"/>
    <n v="-0.21440000000000001"/>
    <n v="0.64"/>
    <n v="0.39700000000000002"/>
    <n v="0"/>
    <n v="39.950000000000003"/>
    <n v="45.66"/>
    <n v="48000"/>
    <n v="4368000"/>
  </r>
  <r>
    <x v="8"/>
    <s v="2021-01"/>
    <s v="2021"/>
    <s v="01"/>
    <x v="1"/>
    <s v="Cathay Pacific"/>
    <s v="Hong Kong"/>
    <x v="1"/>
    <x v="0"/>
    <n v="230"/>
    <n v="725.02"/>
    <n v="374.64"/>
    <n v="0.51670000000000005"/>
    <n v="-223.67"/>
    <n v="-0.3085"/>
    <n v="0.62"/>
    <n v="0.47899999999999998"/>
    <n v="0"/>
    <n v="75.489999999999995"/>
    <n v="85.77"/>
    <n v="48000"/>
    <n v="4368000"/>
  </r>
  <r>
    <x v="9"/>
    <s v="2021-04"/>
    <s v="2021"/>
    <s v="04"/>
    <x v="1"/>
    <s v="Cathay Pacific"/>
    <s v="Hong Kong"/>
    <x v="1"/>
    <x v="0"/>
    <n v="230"/>
    <n v="851.08"/>
    <n v="397.14"/>
    <n v="0.46659999999999996"/>
    <n v="-363.83"/>
    <n v="-0.42749999999999999"/>
    <n v="0.63"/>
    <n v="0.43099999999999999"/>
    <n v="1.75"/>
    <n v="76.83"/>
    <n v="90.92"/>
    <n v="48000"/>
    <n v="4368000"/>
  </r>
  <r>
    <x v="10"/>
    <s v="2021-07"/>
    <s v="2021"/>
    <s v="07"/>
    <x v="2"/>
    <s v="Cathay Pacific"/>
    <s v="Hong Kong"/>
    <x v="1"/>
    <x v="0"/>
    <n v="230"/>
    <n v="2122.66"/>
    <n v="392.77"/>
    <n v="0.185"/>
    <n v="107.53"/>
    <n v="5.0700000000000002E-2"/>
    <n v="1.55"/>
    <n v="0.36799999999999999"/>
    <n v="0"/>
    <n v="78.97"/>
    <n v="89.92"/>
    <n v="48000"/>
    <n v="4368000"/>
  </r>
  <r>
    <x v="11"/>
    <s v="2021-10"/>
    <s v="2021"/>
    <s v="10"/>
    <x v="2"/>
    <s v="Cathay Pacific"/>
    <s v="Hong Kong"/>
    <x v="1"/>
    <x v="0"/>
    <n v="230"/>
    <n v="2092.1999999999998"/>
    <n v="455.36"/>
    <n v="0.21760000000000002"/>
    <n v="127.85"/>
    <n v="6.1100000000000002E-2"/>
    <n v="1.56"/>
    <n v="0.22699999999999998"/>
    <n v="16.37"/>
    <n v="86.82"/>
    <n v="104.25"/>
    <n v="48000"/>
    <n v="4368000"/>
  </r>
  <r>
    <x v="12"/>
    <s v="2022-01"/>
    <s v="2022"/>
    <s v="01"/>
    <x v="2"/>
    <s v="Cathay Pacific"/>
    <s v="Hong Kong"/>
    <x v="1"/>
    <x v="0"/>
    <n v="230"/>
    <n v="1904.26"/>
    <n v="355.73"/>
    <n v="0.18679999999999999"/>
    <n v="16.62"/>
    <n v="8.6999999999999994E-3"/>
    <n v="1.63"/>
    <n v="0.436"/>
    <n v="0"/>
    <n v="72.010000000000005"/>
    <n v="81.44"/>
    <n v="48000"/>
    <n v="4368000"/>
  </r>
  <r>
    <x v="13"/>
    <s v="2022-04"/>
    <s v="2022"/>
    <s v="04"/>
    <x v="3"/>
    <s v="Cathay Pacific"/>
    <s v="Hong Kong"/>
    <x v="1"/>
    <x v="0"/>
    <n v="230"/>
    <n v="2936.81"/>
    <n v="574.96"/>
    <n v="0.19579999999999997"/>
    <n v="80.67"/>
    <n v="2.75E-2"/>
    <n v="2.3199999999999998"/>
    <n v="0.54500000000000004"/>
    <n v="144.94"/>
    <n v="109.53"/>
    <n v="131.63"/>
    <n v="48000"/>
    <n v="4368000"/>
  </r>
  <r>
    <x v="14"/>
    <s v="2022-07"/>
    <s v="2022"/>
    <s v="07"/>
    <x v="3"/>
    <s v="Cathay Pacific"/>
    <s v="Hong Kong"/>
    <x v="1"/>
    <x v="0"/>
    <n v="230"/>
    <n v="2988.99"/>
    <n v="412.73"/>
    <n v="0.1381"/>
    <n v="296.02999999999997"/>
    <n v="9.9000000000000005E-2"/>
    <n v="2.39"/>
    <n v="1E-3"/>
    <n v="0.02"/>
    <n v="80.69"/>
    <n v="94.49"/>
    <n v="48000"/>
    <n v="4368000"/>
  </r>
  <r>
    <x v="15"/>
    <s v="2022-10"/>
    <s v="2022"/>
    <s v="10"/>
    <x v="3"/>
    <s v="Cathay Pacific"/>
    <s v="Hong Kong"/>
    <x v="1"/>
    <x v="0"/>
    <n v="230"/>
    <n v="3023.47"/>
    <n v="461.09"/>
    <n v="0.1525"/>
    <n v="291.75"/>
    <n v="9.6500000000000002E-2"/>
    <n v="2.62"/>
    <n v="0.502"/>
    <n v="40.020000000000003"/>
    <n v="93.25"/>
    <n v="105.56"/>
    <n v="48000"/>
    <n v="4368000"/>
  </r>
  <r>
    <x v="16"/>
    <s v="2023-01"/>
    <s v="2023"/>
    <s v="01"/>
    <x v="4"/>
    <s v="Cathay Pacific"/>
    <s v="Hong Kong"/>
    <x v="1"/>
    <x v="0"/>
    <n v="230"/>
    <n v="2737.14"/>
    <n v="424.26"/>
    <n v="0.155"/>
    <n v="147.55000000000001"/>
    <n v="5.3899999999999997E-2"/>
    <n v="2.27"/>
    <n v="9.0999999999999998E-2"/>
    <n v="3.06"/>
    <n v="84.29"/>
    <n v="97.13"/>
    <n v="48000"/>
    <n v="4368000"/>
  </r>
  <r>
    <x v="17"/>
    <s v="2023-04"/>
    <s v="2023"/>
    <s v="04"/>
    <x v="4"/>
    <s v="Cathay Pacific"/>
    <s v="Hong Kong"/>
    <x v="1"/>
    <x v="0"/>
    <n v="230"/>
    <n v="3007.01"/>
    <n v="445.4"/>
    <n v="0.14810000000000001"/>
    <n v="254.34"/>
    <n v="8.4600000000000009E-2"/>
    <n v="2.17"/>
    <n v="9.8000000000000004E-2"/>
    <n v="5.81"/>
    <n v="88.18"/>
    <n v="101.97"/>
    <n v="48000"/>
    <n v="4368000"/>
  </r>
  <r>
    <x v="18"/>
    <s v="2023-07"/>
    <s v="2023"/>
    <s v="07"/>
    <x v="4"/>
    <s v="Cathay Pacific"/>
    <s v="Hong Kong"/>
    <x v="1"/>
    <x v="0"/>
    <n v="230"/>
    <n v="2765.74"/>
    <n v="425.97"/>
    <n v="0.154"/>
    <n v="305.27"/>
    <n v="0.1104"/>
    <n v="2.31"/>
    <n v="0.13800000000000001"/>
    <n v="4.91"/>
    <n v="85.16"/>
    <n v="97.52"/>
    <n v="48000"/>
    <n v="4368000"/>
  </r>
  <r>
    <x v="19"/>
    <s v="2023-10"/>
    <s v="2023"/>
    <s v="10"/>
    <x v="5"/>
    <s v="Cathay Pacific"/>
    <s v="Hong Kong"/>
    <x v="1"/>
    <x v="0"/>
    <n v="230"/>
    <n v="2896.07"/>
    <n v="392.95"/>
    <n v="0.13570000000000002"/>
    <n v="125.06"/>
    <n v="4.3200000000000002E-2"/>
    <n v="2.12"/>
    <n v="0.34799999999999998"/>
    <n v="0"/>
    <n v="78.33"/>
    <n v="89.96"/>
    <n v="48000"/>
    <n v="4368000"/>
  </r>
  <r>
    <x v="20"/>
    <s v="2024-01"/>
    <s v="2024"/>
    <s v="01"/>
    <x v="5"/>
    <s v="Cathay Pacific"/>
    <s v="Hong Kong"/>
    <x v="1"/>
    <x v="0"/>
    <n v="230"/>
    <n v="2916.19"/>
    <n v="432.52"/>
    <n v="0.14829999999999999"/>
    <n v="383.29"/>
    <n v="0.13140000000000002"/>
    <n v="2.29"/>
    <n v="7.8E-2"/>
    <n v="3.38"/>
    <n v="84.61"/>
    <n v="99.02"/>
    <n v="48000"/>
    <n v="4368000"/>
  </r>
  <r>
    <x v="21"/>
    <s v="2024-04"/>
    <s v="2024"/>
    <s v="04"/>
    <x v="5"/>
    <s v="Cathay Pacific"/>
    <s v="Hong Kong"/>
    <x v="1"/>
    <x v="0"/>
    <n v="230"/>
    <n v="2998.15"/>
    <n v="444.58"/>
    <n v="0.14829999999999999"/>
    <n v="251.08"/>
    <n v="8.3699999999999997E-2"/>
    <n v="2.39"/>
    <n v="0.55500000000000005"/>
    <n v="32.299999999999997"/>
    <n v="84.06"/>
    <n v="101.78"/>
    <n v="48000"/>
    <n v="4368000"/>
  </r>
  <r>
    <x v="22"/>
    <s v="2024-07"/>
    <s v="2024"/>
    <s v="07"/>
    <x v="5"/>
    <s v="Cathay Pacific"/>
    <s v="Hong Kong"/>
    <x v="1"/>
    <x v="0"/>
    <n v="230"/>
    <n v="2873.22"/>
    <n v="410.5"/>
    <n v="0.1429"/>
    <n v="201.54"/>
    <n v="7.0099999999999996E-2"/>
    <n v="2.31"/>
    <n v="0.40600000000000003"/>
    <n v="7.37"/>
    <n v="80.400000000000006"/>
    <n v="93.98"/>
    <n v="48000"/>
    <n v="4368000"/>
  </r>
  <r>
    <x v="23"/>
    <s v="2024-10"/>
    <s v="2024"/>
    <s v="10"/>
    <x v="5"/>
    <s v="Cathay Pacific"/>
    <s v="Hong Kong"/>
    <x v="1"/>
    <x v="0"/>
    <n v="230"/>
    <n v="2983.89"/>
    <n v="491.49"/>
    <n v="0.16469999999999999"/>
    <n v="189.43"/>
    <n v="6.3500000000000001E-2"/>
    <n v="2.41"/>
    <n v="0.59799999999999998"/>
    <n v="73.540000000000006"/>
    <n v="94.78"/>
    <n v="112.52"/>
    <n v="48000"/>
    <n v="4368000"/>
  </r>
  <r>
    <x v="24"/>
    <s v="2025-01"/>
    <s v="2025"/>
    <s v="01"/>
    <x v="6"/>
    <s v="Cathay Pacific"/>
    <s v="Hong Kong"/>
    <x v="1"/>
    <x v="0"/>
    <n v="230"/>
    <n v="2676.55"/>
    <n v="443.53"/>
    <n v="0.16570000000000001"/>
    <n v="159.13999999999999"/>
    <n v="5.9500000000000004E-2"/>
    <n v="2.0699999999999998"/>
    <n v="0.441"/>
    <n v="25.08"/>
    <n v="85.13"/>
    <n v="101.54"/>
    <n v="48000"/>
    <n v="4368000"/>
  </r>
  <r>
    <x v="25"/>
    <s v="2025-04"/>
    <s v="2025"/>
    <s v="04"/>
    <x v="6"/>
    <s v="Cathay Pacific"/>
    <s v="Hong Kong"/>
    <x v="1"/>
    <x v="0"/>
    <n v="230"/>
    <n v="2966.43"/>
    <n v="526.04"/>
    <n v="0.17730000000000001"/>
    <n v="177.74"/>
    <n v="5.9900000000000002E-2"/>
    <n v="2.2400000000000002"/>
    <n v="0.53500000000000003"/>
    <n v="95.15"/>
    <n v="101.77"/>
    <n v="120.43"/>
    <n v="48000"/>
    <n v="4368000"/>
  </r>
  <r>
    <x v="26"/>
    <s v="2025-07"/>
    <s v="2025"/>
    <s v="07"/>
    <x v="6"/>
    <s v="Cathay Pacific"/>
    <s v="Hong Kong"/>
    <x v="1"/>
    <x v="0"/>
    <n v="230"/>
    <n v="2714"/>
    <n v="490.18"/>
    <n v="0.18059999999999998"/>
    <n v="179.44"/>
    <n v="6.6100000000000006E-2"/>
    <n v="2.2599999999999998"/>
    <n v="0.10800000000000001"/>
    <n v="13.07"/>
    <n v="93.24"/>
    <n v="112.22"/>
    <n v="48000"/>
    <n v="4368000"/>
  </r>
  <r>
    <x v="27"/>
    <s v="2025-10"/>
    <s v="2025"/>
    <s v="10"/>
    <x v="6"/>
    <s v="Cathay Pacific"/>
    <s v="Hong Kong"/>
    <x v="1"/>
    <x v="0"/>
    <n v="230"/>
    <n v="2961.4"/>
    <n v="487.77"/>
    <n v="0.16469999999999999"/>
    <n v="263.72000000000003"/>
    <n v="8.9099999999999999E-2"/>
    <n v="2.34"/>
    <n v="8.8000000000000009E-2"/>
    <n v="10.34"/>
    <n v="99.34"/>
    <n v="111.67"/>
    <n v="48000"/>
    <n v="4368000"/>
  </r>
  <r>
    <x v="28"/>
    <s v="2026-01"/>
    <s v="2026"/>
    <s v="01"/>
    <x v="7"/>
    <s v="Cathay Pacific"/>
    <s v="Hong Kong"/>
    <x v="1"/>
    <x v="0"/>
    <n v="230"/>
    <n v="2340.61"/>
    <n v="641.22"/>
    <n v="0.27399999999999997"/>
    <n v="-171.33"/>
    <n v="-7.3200000000000001E-2"/>
    <n v="1.94"/>
    <n v="0.20600000000000002"/>
    <n v="83.36"/>
    <n v="130.88"/>
    <n v="146.80000000000001"/>
    <n v="48000"/>
    <n v="4368000"/>
  </r>
  <r>
    <x v="0"/>
    <s v="2019-01"/>
    <s v="2019"/>
    <s v="01"/>
    <x v="0"/>
    <s v="Air India"/>
    <s v="India"/>
    <x v="1"/>
    <x v="0"/>
    <n v="183"/>
    <n v="1691.37"/>
    <n v="217.18"/>
    <n v="0.12839999999999999"/>
    <n v="153.91"/>
    <n v="9.0999999999999998E-2"/>
    <n v="1.98"/>
    <n v="0.29899999999999999"/>
    <n v="0"/>
    <n v="63"/>
    <n v="74.58"/>
    <n v="32000"/>
    <n v="2912000"/>
  </r>
  <r>
    <x v="1"/>
    <s v="2019-04"/>
    <s v="2019"/>
    <s v="04"/>
    <x v="0"/>
    <s v="Air India"/>
    <s v="India"/>
    <x v="1"/>
    <x v="0"/>
    <n v="183"/>
    <n v="1593.88"/>
    <n v="213.57"/>
    <n v="0.13400000000000001"/>
    <n v="79.89"/>
    <n v="5.0099999999999999E-2"/>
    <n v="1.66"/>
    <n v="0.36599999999999999"/>
    <n v="0"/>
    <n v="64.790000000000006"/>
    <n v="73.34"/>
    <n v="32000"/>
    <n v="2912000"/>
  </r>
  <r>
    <x v="2"/>
    <s v="2019-07"/>
    <s v="2019"/>
    <s v="07"/>
    <x v="0"/>
    <s v="Air India"/>
    <s v="India"/>
    <x v="1"/>
    <x v="0"/>
    <n v="183"/>
    <n v="1579.67"/>
    <n v="207.07"/>
    <n v="0.13109999999999999"/>
    <n v="69.47"/>
    <n v="4.4000000000000004E-2"/>
    <n v="1.71"/>
    <n v="0.22600000000000001"/>
    <n v="0"/>
    <n v="60.46"/>
    <n v="71.11"/>
    <n v="32000"/>
    <n v="2912000"/>
  </r>
  <r>
    <x v="3"/>
    <s v="2019-10"/>
    <s v="2019"/>
    <s v="10"/>
    <x v="0"/>
    <s v="Air India"/>
    <s v="India"/>
    <x v="1"/>
    <x v="0"/>
    <n v="183"/>
    <n v="1632.56"/>
    <n v="224.14"/>
    <n v="0.13730000000000001"/>
    <n v="139.44"/>
    <n v="8.539999999999999E-2"/>
    <n v="1.88"/>
    <n v="0.625"/>
    <n v="0"/>
    <n v="65.66"/>
    <n v="76.97"/>
    <n v="32000"/>
    <n v="2912000"/>
  </r>
  <r>
    <x v="4"/>
    <s v="2020-01"/>
    <s v="2020"/>
    <s v="01"/>
    <x v="0"/>
    <s v="Air India"/>
    <s v="India"/>
    <x v="1"/>
    <x v="0"/>
    <n v="183"/>
    <n v="1599.16"/>
    <n v="219.51"/>
    <n v="0.13730000000000001"/>
    <n v="214.67"/>
    <n v="0.13419999999999999"/>
    <n v="1.65"/>
    <n v="0.49099999999999999"/>
    <n v="0"/>
    <n v="66.66"/>
    <n v="75.38"/>
    <n v="32000"/>
    <n v="2912000"/>
  </r>
  <r>
    <x v="5"/>
    <s v="2020-04"/>
    <s v="2020"/>
    <s v="04"/>
    <x v="1"/>
    <s v="Air India"/>
    <s v="India"/>
    <x v="1"/>
    <x v="0"/>
    <n v="183"/>
    <n v="465.19"/>
    <n v="68.989999999999995"/>
    <n v="0.14829999999999999"/>
    <n v="-203.26"/>
    <n v="-0.43689999999999996"/>
    <n v="0.53"/>
    <n v="0.58599999999999997"/>
    <n v="0"/>
    <n v="20.57"/>
    <n v="23.69"/>
    <n v="32000"/>
    <n v="2912000"/>
  </r>
  <r>
    <x v="6"/>
    <s v="2020-07"/>
    <s v="2020"/>
    <s v="07"/>
    <x v="1"/>
    <s v="Air India"/>
    <s v="India"/>
    <x v="1"/>
    <x v="0"/>
    <n v="183"/>
    <n v="546.07000000000005"/>
    <n v="146.85"/>
    <n v="0.26890000000000003"/>
    <n v="-152.19"/>
    <n v="-0.2787"/>
    <n v="0.63"/>
    <n v="4.7E-2"/>
    <n v="0"/>
    <n v="44.05"/>
    <n v="50.43"/>
    <n v="32000"/>
    <n v="2912000"/>
  </r>
  <r>
    <x v="7"/>
    <s v="2020-10"/>
    <s v="2020"/>
    <s v="10"/>
    <x v="1"/>
    <s v="Air India"/>
    <s v="India"/>
    <x v="1"/>
    <x v="0"/>
    <n v="183"/>
    <n v="296.16000000000003"/>
    <n v="132.96"/>
    <n v="0.44900000000000001"/>
    <n v="-113.84"/>
    <n v="-0.38439999999999996"/>
    <n v="0.33"/>
    <n v="0.251"/>
    <n v="0"/>
    <n v="39.950000000000003"/>
    <n v="45.66"/>
    <n v="32000"/>
    <n v="2912000"/>
  </r>
  <r>
    <x v="8"/>
    <s v="2021-01"/>
    <s v="2021"/>
    <s v="01"/>
    <x v="1"/>
    <s v="Air India"/>
    <s v="India"/>
    <x v="1"/>
    <x v="0"/>
    <n v="183"/>
    <n v="457.32"/>
    <n v="249.76"/>
    <n v="0.54610000000000003"/>
    <n v="-154.84"/>
    <n v="-0.33860000000000001"/>
    <n v="0.53"/>
    <n v="0.46399999999999997"/>
    <n v="0"/>
    <n v="75.489999999999995"/>
    <n v="85.77"/>
    <n v="32000"/>
    <n v="2912000"/>
  </r>
  <r>
    <x v="9"/>
    <s v="2021-04"/>
    <s v="2021"/>
    <s v="04"/>
    <x v="1"/>
    <s v="Air India"/>
    <s v="India"/>
    <x v="1"/>
    <x v="0"/>
    <n v="183"/>
    <n v="486.62"/>
    <n v="264.76"/>
    <n v="0.54409999999999992"/>
    <n v="-118.14"/>
    <n v="-0.24280000000000002"/>
    <n v="0.56999999999999995"/>
    <n v="0.50700000000000001"/>
    <n v="1.37"/>
    <n v="76.83"/>
    <n v="90.92"/>
    <n v="32000"/>
    <n v="2912000"/>
  </r>
  <r>
    <x v="10"/>
    <s v="2021-07"/>
    <s v="2021"/>
    <s v="07"/>
    <x v="2"/>
    <s v="Air India"/>
    <s v="India"/>
    <x v="1"/>
    <x v="0"/>
    <n v="183"/>
    <n v="1077.68"/>
    <n v="261.85000000000002"/>
    <n v="0.24299999999999999"/>
    <n v="33.43"/>
    <n v="3.1E-2"/>
    <n v="1.06"/>
    <n v="0.48299999999999998"/>
    <n v="0"/>
    <n v="78.97"/>
    <n v="89.92"/>
    <n v="32000"/>
    <n v="2912000"/>
  </r>
  <r>
    <x v="11"/>
    <s v="2021-10"/>
    <s v="2021"/>
    <s v="10"/>
    <x v="2"/>
    <s v="Air India"/>
    <s v="India"/>
    <x v="1"/>
    <x v="0"/>
    <n v="183"/>
    <n v="1076.0899999999999"/>
    <n v="303.58"/>
    <n v="0.28210000000000002"/>
    <n v="83.74"/>
    <n v="7.7800000000000008E-2"/>
    <n v="1.2"/>
    <n v="0.11800000000000001"/>
    <n v="5.67"/>
    <n v="86.82"/>
    <n v="104.25"/>
    <n v="32000"/>
    <n v="2912000"/>
  </r>
  <r>
    <x v="12"/>
    <s v="2022-01"/>
    <s v="2022"/>
    <s v="01"/>
    <x v="2"/>
    <s v="Air India"/>
    <s v="India"/>
    <x v="1"/>
    <x v="0"/>
    <n v="183"/>
    <n v="1208.44"/>
    <n v="237.15"/>
    <n v="0.19620000000000001"/>
    <n v="69.45"/>
    <n v="5.7500000000000002E-2"/>
    <n v="1.24"/>
    <n v="0.34899999999999998"/>
    <n v="0"/>
    <n v="72.010000000000005"/>
    <n v="81.44"/>
    <n v="32000"/>
    <n v="2912000"/>
  </r>
  <r>
    <x v="13"/>
    <s v="2022-04"/>
    <s v="2022"/>
    <s v="04"/>
    <x v="3"/>
    <s v="Air India"/>
    <s v="India"/>
    <x v="1"/>
    <x v="0"/>
    <n v="183"/>
    <n v="1463.66"/>
    <n v="383.31"/>
    <n v="0.26190000000000002"/>
    <n v="121.59"/>
    <n v="8.3100000000000007E-2"/>
    <n v="1.5"/>
    <n v="0.252"/>
    <n v="44.68"/>
    <n v="109.53"/>
    <n v="131.63"/>
    <n v="32000"/>
    <n v="2912000"/>
  </r>
  <r>
    <x v="14"/>
    <s v="2022-07"/>
    <s v="2022"/>
    <s v="07"/>
    <x v="3"/>
    <s v="Air India"/>
    <s v="India"/>
    <x v="1"/>
    <x v="0"/>
    <n v="183"/>
    <n v="1634.83"/>
    <n v="275.14999999999998"/>
    <n v="0.16829999999999998"/>
    <n v="51.64"/>
    <n v="3.1600000000000003E-2"/>
    <n v="1.94"/>
    <n v="0.30499999999999999"/>
    <n v="4.1900000000000004"/>
    <n v="80.69"/>
    <n v="94.49"/>
    <n v="32000"/>
    <n v="2912000"/>
  </r>
  <r>
    <x v="15"/>
    <s v="2022-10"/>
    <s v="2022"/>
    <s v="10"/>
    <x v="3"/>
    <s v="Air India"/>
    <s v="India"/>
    <x v="1"/>
    <x v="0"/>
    <n v="183"/>
    <n v="1537.83"/>
    <n v="307.39"/>
    <n v="0.19989999999999999"/>
    <n v="121.2"/>
    <n v="7.8799999999999995E-2"/>
    <n v="1.81"/>
    <n v="0.59299999999999997"/>
    <n v="31.51"/>
    <n v="93.25"/>
    <n v="105.56"/>
    <n v="32000"/>
    <n v="2912000"/>
  </r>
  <r>
    <x v="16"/>
    <s v="2023-01"/>
    <s v="2023"/>
    <s v="01"/>
    <x v="4"/>
    <s v="Air India"/>
    <s v="India"/>
    <x v="1"/>
    <x v="0"/>
    <n v="183"/>
    <n v="1634.83"/>
    <n v="282.83999999999997"/>
    <n v="0.17300000000000001"/>
    <n v="124.16"/>
    <n v="7.5899999999999995E-2"/>
    <n v="1.94"/>
    <n v="3.4000000000000002E-2"/>
    <n v="0.76"/>
    <n v="84.29"/>
    <n v="97.13"/>
    <n v="32000"/>
    <n v="2912000"/>
  </r>
  <r>
    <x v="17"/>
    <s v="2023-04"/>
    <s v="2023"/>
    <s v="04"/>
    <x v="4"/>
    <s v="Air India"/>
    <s v="India"/>
    <x v="1"/>
    <x v="0"/>
    <n v="183"/>
    <n v="1702.3"/>
    <n v="296.94"/>
    <n v="0.1744"/>
    <n v="98.31"/>
    <n v="5.7800000000000004E-2"/>
    <n v="1.85"/>
    <n v="0.62"/>
    <n v="24.49"/>
    <n v="88.18"/>
    <n v="101.97"/>
    <n v="32000"/>
    <n v="2912000"/>
  </r>
  <r>
    <x v="18"/>
    <s v="2023-07"/>
    <s v="2023"/>
    <s v="07"/>
    <x v="4"/>
    <s v="Air India"/>
    <s v="India"/>
    <x v="1"/>
    <x v="0"/>
    <n v="183"/>
    <n v="1666.52"/>
    <n v="283.98"/>
    <n v="0.1704"/>
    <n v="153.88999999999999"/>
    <n v="9.2300000000000007E-2"/>
    <n v="1.66"/>
    <n v="0.18"/>
    <n v="4.2699999999999996"/>
    <n v="85.16"/>
    <n v="97.52"/>
    <n v="32000"/>
    <n v="2912000"/>
  </r>
  <r>
    <x v="19"/>
    <s v="2023-10"/>
    <s v="2023"/>
    <s v="10"/>
    <x v="5"/>
    <s v="Air India"/>
    <s v="India"/>
    <x v="1"/>
    <x v="0"/>
    <n v="183"/>
    <n v="1544.39"/>
    <n v="261.95999999999998"/>
    <n v="0.1696"/>
    <n v="196.91"/>
    <n v="0.1275"/>
    <n v="1.74"/>
    <n v="7.6999999999999999E-2"/>
    <n v="0"/>
    <n v="78.33"/>
    <n v="89.96"/>
    <n v="32000"/>
    <n v="2912000"/>
  </r>
  <r>
    <x v="20"/>
    <s v="2024-01"/>
    <s v="2024"/>
    <s v="01"/>
    <x v="5"/>
    <s v="Air India"/>
    <s v="India"/>
    <x v="1"/>
    <x v="0"/>
    <n v="183"/>
    <n v="1620.53"/>
    <n v="288.35000000000002"/>
    <n v="0.1779"/>
    <n v="196.31"/>
    <n v="0.1211"/>
    <n v="1.64"/>
    <n v="0.15"/>
    <n v="4.33"/>
    <n v="84.61"/>
    <n v="99.02"/>
    <n v="32000"/>
    <n v="2912000"/>
  </r>
  <r>
    <x v="21"/>
    <s v="2024-04"/>
    <s v="2024"/>
    <s v="04"/>
    <x v="5"/>
    <s v="Air India"/>
    <s v="India"/>
    <x v="1"/>
    <x v="0"/>
    <n v="183"/>
    <n v="1658.12"/>
    <n v="296.38"/>
    <n v="0.1787"/>
    <n v="90.36"/>
    <n v="5.45E-2"/>
    <n v="1.77"/>
    <n v="0.63800000000000001"/>
    <n v="24.75"/>
    <n v="84.06"/>
    <n v="101.78"/>
    <n v="32000"/>
    <n v="2912000"/>
  </r>
  <r>
    <x v="22"/>
    <s v="2024-07"/>
    <s v="2024"/>
    <s v="07"/>
    <x v="5"/>
    <s v="Air India"/>
    <s v="India"/>
    <x v="1"/>
    <x v="0"/>
    <n v="183"/>
    <n v="1658.64"/>
    <n v="273.67"/>
    <n v="0.16500000000000001"/>
    <n v="182.7"/>
    <n v="0.11019999999999999"/>
    <n v="1.87"/>
    <n v="0.13800000000000001"/>
    <n v="1.67"/>
    <n v="80.400000000000006"/>
    <n v="93.98"/>
    <n v="32000"/>
    <n v="2912000"/>
  </r>
  <r>
    <x v="23"/>
    <s v="2024-10"/>
    <s v="2024"/>
    <s v="10"/>
    <x v="5"/>
    <s v="Air India"/>
    <s v="India"/>
    <x v="1"/>
    <x v="0"/>
    <n v="183"/>
    <n v="1722.49"/>
    <n v="327.66000000000003"/>
    <n v="0.19020000000000001"/>
    <n v="89.92"/>
    <n v="5.2199999999999996E-2"/>
    <n v="2.04"/>
    <n v="0.14000000000000001"/>
    <n v="11.48"/>
    <n v="94.78"/>
    <n v="112.52"/>
    <n v="32000"/>
    <n v="2912000"/>
  </r>
  <r>
    <x v="24"/>
    <s v="2025-01"/>
    <s v="2025"/>
    <s v="01"/>
    <x v="6"/>
    <s v="Air India"/>
    <s v="India"/>
    <x v="1"/>
    <x v="0"/>
    <n v="183"/>
    <n v="1745.44"/>
    <n v="295.68"/>
    <n v="0.16940000000000002"/>
    <n v="209.1"/>
    <n v="0.1198"/>
    <n v="1.78"/>
    <n v="0.10400000000000001"/>
    <n v="3.94"/>
    <n v="85.13"/>
    <n v="101.54"/>
    <n v="32000"/>
    <n v="2912000"/>
  </r>
  <r>
    <x v="25"/>
    <s v="2025-04"/>
    <s v="2025"/>
    <s v="04"/>
    <x v="6"/>
    <s v="Air India"/>
    <s v="India"/>
    <x v="1"/>
    <x v="0"/>
    <n v="183"/>
    <n v="1561.61"/>
    <n v="350.69"/>
    <n v="0.22460000000000002"/>
    <n v="101.09"/>
    <n v="6.4699999999999994E-2"/>
    <n v="1.76"/>
    <n v="0.33799999999999997"/>
    <n v="40.08"/>
    <n v="101.77"/>
    <n v="120.43"/>
    <n v="32000"/>
    <n v="2912000"/>
  </r>
  <r>
    <x v="26"/>
    <s v="2025-07"/>
    <s v="2025"/>
    <s v="07"/>
    <x v="6"/>
    <s v="Air India"/>
    <s v="India"/>
    <x v="1"/>
    <x v="0"/>
    <n v="183"/>
    <n v="1673.32"/>
    <n v="326.77999999999997"/>
    <n v="0.1953"/>
    <n v="72.14"/>
    <n v="4.3099999999999999E-2"/>
    <n v="1.67"/>
    <n v="0.45"/>
    <n v="36.31"/>
    <n v="93.24"/>
    <n v="112.22"/>
    <n v="32000"/>
    <n v="2912000"/>
  </r>
  <r>
    <x v="27"/>
    <s v="2025-10"/>
    <s v="2025"/>
    <s v="10"/>
    <x v="6"/>
    <s v="Air India"/>
    <s v="India"/>
    <x v="1"/>
    <x v="0"/>
    <n v="183"/>
    <n v="1722.87"/>
    <n v="325.18"/>
    <n v="0.18870000000000001"/>
    <n v="130.84"/>
    <n v="7.5899999999999995E-2"/>
    <n v="1.76"/>
    <n v="0.2"/>
    <n v="15.66"/>
    <n v="99.34"/>
    <n v="111.67"/>
    <n v="32000"/>
    <n v="2912000"/>
  </r>
  <r>
    <x v="28"/>
    <s v="2026-01"/>
    <s v="2026"/>
    <s v="01"/>
    <x v="7"/>
    <s v="Air India"/>
    <s v="India"/>
    <x v="1"/>
    <x v="0"/>
    <n v="183"/>
    <n v="1271.4100000000001"/>
    <n v="427.48"/>
    <n v="0.3362"/>
    <n v="-157.62"/>
    <n v="-0.124"/>
    <n v="1.36"/>
    <n v="0.58299999999999996"/>
    <n v="157.29"/>
    <n v="130.88"/>
    <n v="146.80000000000001"/>
    <n v="32000"/>
    <n v="2912000"/>
  </r>
  <r>
    <x v="0"/>
    <s v="2019-01"/>
    <s v="2019"/>
    <s v="01"/>
    <x v="0"/>
    <s v="Korean Air"/>
    <s v="South Korea"/>
    <x v="1"/>
    <x v="0"/>
    <n v="169"/>
    <n v="2956.36"/>
    <n v="271.47000000000003"/>
    <n v="9.1799999999999993E-2"/>
    <n v="171.88"/>
    <n v="5.8099999999999999E-2"/>
    <n v="1.56"/>
    <n v="0.30199999999999999"/>
    <n v="0"/>
    <n v="63"/>
    <n v="74.58"/>
    <n v="40000"/>
    <n v="3640000"/>
  </r>
  <r>
    <x v="1"/>
    <s v="2019-04"/>
    <s v="2019"/>
    <s v="04"/>
    <x v="0"/>
    <s v="Korean Air"/>
    <s v="South Korea"/>
    <x v="1"/>
    <x v="0"/>
    <n v="169"/>
    <n v="3102.57"/>
    <n v="266.95999999999998"/>
    <n v="8.5999999999999993E-2"/>
    <n v="393.84"/>
    <n v="0.12689999999999999"/>
    <n v="1.62"/>
    <n v="2E-3"/>
    <n v="0"/>
    <n v="64.790000000000006"/>
    <n v="73.34"/>
    <n v="40000"/>
    <n v="3640000"/>
  </r>
  <r>
    <x v="2"/>
    <s v="2019-07"/>
    <s v="2019"/>
    <s v="07"/>
    <x v="0"/>
    <s v="Korean Air"/>
    <s v="South Korea"/>
    <x v="1"/>
    <x v="0"/>
    <n v="169"/>
    <n v="3135.92"/>
    <n v="258.83999999999997"/>
    <n v="8.2500000000000004E-2"/>
    <n v="197"/>
    <n v="6.2800000000000009E-2"/>
    <n v="1.85"/>
    <n v="0.35799999999999998"/>
    <n v="0"/>
    <n v="60.46"/>
    <n v="71.11"/>
    <n v="40000"/>
    <n v="3640000"/>
  </r>
  <r>
    <x v="3"/>
    <s v="2019-10"/>
    <s v="2019"/>
    <s v="10"/>
    <x v="0"/>
    <s v="Korean Air"/>
    <s v="South Korea"/>
    <x v="1"/>
    <x v="0"/>
    <n v="169"/>
    <n v="2957.48"/>
    <n v="280.17"/>
    <n v="9.4700000000000006E-2"/>
    <n v="161.69999999999999"/>
    <n v="5.4699999999999999E-2"/>
    <n v="1.7"/>
    <n v="0.53200000000000003"/>
    <n v="0"/>
    <n v="65.66"/>
    <n v="76.97"/>
    <n v="40000"/>
    <n v="3640000"/>
  </r>
  <r>
    <x v="4"/>
    <s v="2020-01"/>
    <s v="2020"/>
    <s v="01"/>
    <x v="0"/>
    <s v="Korean Air"/>
    <s v="South Korea"/>
    <x v="1"/>
    <x v="0"/>
    <n v="169"/>
    <n v="2979.33"/>
    <n v="274.38"/>
    <n v="9.2100000000000015E-2"/>
    <n v="252.16"/>
    <n v="8.4600000000000009E-2"/>
    <n v="1.74"/>
    <n v="0.32500000000000001"/>
    <n v="0"/>
    <n v="66.66"/>
    <n v="75.38"/>
    <n v="40000"/>
    <n v="3640000"/>
  </r>
  <r>
    <x v="5"/>
    <s v="2020-04"/>
    <s v="2020"/>
    <s v="04"/>
    <x v="1"/>
    <s v="Korean Air"/>
    <s v="South Korea"/>
    <x v="1"/>
    <x v="0"/>
    <n v="169"/>
    <n v="906.01"/>
    <n v="86.23"/>
    <n v="9.5199999999999993E-2"/>
    <n v="-395.45"/>
    <n v="-0.4365"/>
    <n v="0.54"/>
    <n v="0.17"/>
    <n v="0"/>
    <n v="20.57"/>
    <n v="23.69"/>
    <n v="40000"/>
    <n v="3640000"/>
  </r>
  <r>
    <x v="6"/>
    <s v="2020-07"/>
    <s v="2020"/>
    <s v="07"/>
    <x v="1"/>
    <s v="Korean Air"/>
    <s v="South Korea"/>
    <x v="1"/>
    <x v="0"/>
    <n v="169"/>
    <n v="542.32000000000005"/>
    <n v="183.57"/>
    <n v="0.33850000000000002"/>
    <n v="-239.67"/>
    <n v="-0.44189999999999996"/>
    <n v="0.32"/>
    <n v="3.9E-2"/>
    <n v="0"/>
    <n v="44.05"/>
    <n v="50.43"/>
    <n v="40000"/>
    <n v="3640000"/>
  </r>
  <r>
    <x v="7"/>
    <s v="2020-10"/>
    <s v="2020"/>
    <s v="10"/>
    <x v="1"/>
    <s v="Korean Air"/>
    <s v="South Korea"/>
    <x v="1"/>
    <x v="0"/>
    <n v="169"/>
    <n v="1005.61"/>
    <n v="166.2"/>
    <n v="0.1653"/>
    <n v="-310.52"/>
    <n v="-0.30879999999999996"/>
    <n v="0.57999999999999996"/>
    <n v="0.47100000000000003"/>
    <n v="0"/>
    <n v="39.950000000000003"/>
    <n v="45.66"/>
    <n v="40000"/>
    <n v="3640000"/>
  </r>
  <r>
    <x v="8"/>
    <s v="2021-01"/>
    <s v="2021"/>
    <s v="01"/>
    <x v="1"/>
    <s v="Korean Air"/>
    <s v="South Korea"/>
    <x v="1"/>
    <x v="0"/>
    <n v="169"/>
    <n v="615.17999999999995"/>
    <n v="312.2"/>
    <n v="0.50749999999999995"/>
    <n v="-152.80000000000001"/>
    <n v="-0.24840000000000001"/>
    <n v="0.37"/>
    <n v="0.24"/>
    <n v="0"/>
    <n v="75.489999999999995"/>
    <n v="85.77"/>
    <n v="40000"/>
    <n v="3640000"/>
  </r>
  <r>
    <x v="9"/>
    <s v="2021-04"/>
    <s v="2021"/>
    <s v="04"/>
    <x v="1"/>
    <s v="Korean Air"/>
    <s v="South Korea"/>
    <x v="1"/>
    <x v="0"/>
    <n v="169"/>
    <n v="935.36"/>
    <n v="330.95"/>
    <n v="0.3538"/>
    <n v="-240.38"/>
    <n v="-0.25700000000000001"/>
    <n v="0.53"/>
    <n v="0.23899999999999999"/>
    <n v="0.81"/>
    <n v="76.83"/>
    <n v="90.92"/>
    <n v="40000"/>
    <n v="3640000"/>
  </r>
  <r>
    <x v="10"/>
    <s v="2021-07"/>
    <s v="2021"/>
    <s v="07"/>
    <x v="2"/>
    <s v="Korean Air"/>
    <s v="South Korea"/>
    <x v="1"/>
    <x v="0"/>
    <n v="169"/>
    <n v="2162.46"/>
    <n v="327.31"/>
    <n v="0.15140000000000001"/>
    <n v="-21.65"/>
    <n v="-0.01"/>
    <n v="1.18"/>
    <n v="0.64300000000000002"/>
    <n v="0"/>
    <n v="78.97"/>
    <n v="89.92"/>
    <n v="40000"/>
    <n v="3640000"/>
  </r>
  <r>
    <x v="11"/>
    <s v="2021-10"/>
    <s v="2021"/>
    <s v="10"/>
    <x v="2"/>
    <s v="Korean Air"/>
    <s v="South Korea"/>
    <x v="1"/>
    <x v="0"/>
    <n v="169"/>
    <n v="2131.91"/>
    <n v="379.47"/>
    <n v="0.17800000000000002"/>
    <n v="77.849999999999994"/>
    <n v="3.6499999999999998E-2"/>
    <n v="1.1399999999999999"/>
    <n v="0.30299999999999999"/>
    <n v="18.21"/>
    <n v="86.82"/>
    <n v="104.25"/>
    <n v="40000"/>
    <n v="3640000"/>
  </r>
  <r>
    <x v="12"/>
    <s v="2022-01"/>
    <s v="2022"/>
    <s v="01"/>
    <x v="2"/>
    <s v="Korean Air"/>
    <s v="South Korea"/>
    <x v="1"/>
    <x v="0"/>
    <n v="169"/>
    <n v="1966.93"/>
    <n v="296.44"/>
    <n v="0.1507"/>
    <n v="96.81"/>
    <n v="4.9200000000000001E-2"/>
    <n v="1.1299999999999999"/>
    <n v="0.22600000000000001"/>
    <n v="0"/>
    <n v="72.010000000000005"/>
    <n v="81.44"/>
    <n v="40000"/>
    <n v="3640000"/>
  </r>
  <r>
    <x v="13"/>
    <s v="2022-04"/>
    <s v="2022"/>
    <s v="04"/>
    <x v="3"/>
    <s v="Korean Air"/>
    <s v="South Korea"/>
    <x v="1"/>
    <x v="0"/>
    <n v="169"/>
    <n v="2964.66"/>
    <n v="479.13"/>
    <n v="0.16159999999999999"/>
    <n v="266.16000000000003"/>
    <n v="8.9800000000000005E-2"/>
    <n v="1.5"/>
    <n v="0.60499999999999998"/>
    <n v="134.08000000000001"/>
    <n v="109.53"/>
    <n v="131.63"/>
    <n v="40000"/>
    <n v="3640000"/>
  </r>
  <r>
    <x v="14"/>
    <s v="2022-07"/>
    <s v="2022"/>
    <s v="07"/>
    <x v="3"/>
    <s v="Korean Air"/>
    <s v="South Korea"/>
    <x v="1"/>
    <x v="0"/>
    <n v="169"/>
    <n v="2932.77"/>
    <n v="343.94"/>
    <n v="0.1173"/>
    <n v="260.35000000000002"/>
    <n v="8.8800000000000004E-2"/>
    <n v="1.75"/>
    <n v="3.7999999999999999E-2"/>
    <n v="0.65"/>
    <n v="80.69"/>
    <n v="94.49"/>
    <n v="40000"/>
    <n v="3640000"/>
  </r>
  <r>
    <x v="15"/>
    <s v="2022-10"/>
    <s v="2022"/>
    <s v="10"/>
    <x v="3"/>
    <s v="Korean Air"/>
    <s v="South Korea"/>
    <x v="1"/>
    <x v="0"/>
    <n v="169"/>
    <n v="3116.14"/>
    <n v="384.24"/>
    <n v="0.12330000000000001"/>
    <n v="245.02"/>
    <n v="7.8600000000000003E-2"/>
    <n v="1.57"/>
    <n v="0.61099999999999999"/>
    <n v="40.590000000000003"/>
    <n v="93.25"/>
    <n v="105.56"/>
    <n v="40000"/>
    <n v="3640000"/>
  </r>
  <r>
    <x v="16"/>
    <s v="2023-01"/>
    <s v="2023"/>
    <s v="01"/>
    <x v="4"/>
    <s v="Korean Air"/>
    <s v="South Korea"/>
    <x v="1"/>
    <x v="0"/>
    <n v="169"/>
    <n v="3045.85"/>
    <n v="353.55"/>
    <n v="0.11609999999999999"/>
    <n v="172.86"/>
    <n v="5.6799999999999996E-2"/>
    <n v="1.57"/>
    <n v="0.36499999999999999"/>
    <n v="10.220000000000001"/>
    <n v="84.29"/>
    <n v="97.13"/>
    <n v="40000"/>
    <n v="3640000"/>
  </r>
  <r>
    <x v="17"/>
    <s v="2023-04"/>
    <s v="2023"/>
    <s v="04"/>
    <x v="4"/>
    <s v="Korean Air"/>
    <s v="South Korea"/>
    <x v="1"/>
    <x v="0"/>
    <n v="169"/>
    <n v="2825.06"/>
    <n v="371.17"/>
    <n v="0.13140000000000002"/>
    <n v="159.44999999999999"/>
    <n v="5.6399999999999999E-2"/>
    <n v="1.71"/>
    <n v="0.48399999999999999"/>
    <n v="23.89"/>
    <n v="88.18"/>
    <n v="101.97"/>
    <n v="40000"/>
    <n v="3640000"/>
  </r>
  <r>
    <x v="18"/>
    <s v="2023-07"/>
    <s v="2023"/>
    <s v="07"/>
    <x v="4"/>
    <s v="Korean Air"/>
    <s v="South Korea"/>
    <x v="1"/>
    <x v="0"/>
    <n v="169"/>
    <n v="3037.77"/>
    <n v="354.97"/>
    <n v="0.11689999999999999"/>
    <n v="184.95"/>
    <n v="6.0899999999999996E-2"/>
    <n v="1.59"/>
    <n v="0.28999999999999998"/>
    <n v="8.6"/>
    <n v="85.16"/>
    <n v="97.52"/>
    <n v="40000"/>
    <n v="3640000"/>
  </r>
  <r>
    <x v="19"/>
    <s v="2023-10"/>
    <s v="2023"/>
    <s v="10"/>
    <x v="5"/>
    <s v="Korean Air"/>
    <s v="South Korea"/>
    <x v="1"/>
    <x v="0"/>
    <n v="169"/>
    <n v="3091.68"/>
    <n v="327.45"/>
    <n v="0.10589999999999999"/>
    <n v="124.88"/>
    <n v="4.0399999999999998E-2"/>
    <n v="1.56"/>
    <n v="0.56600000000000006"/>
    <n v="0"/>
    <n v="78.33"/>
    <n v="89.96"/>
    <n v="40000"/>
    <n v="3640000"/>
  </r>
  <r>
    <x v="20"/>
    <s v="2024-01"/>
    <s v="2024"/>
    <s v="01"/>
    <x v="5"/>
    <s v="Korean Air"/>
    <s v="South Korea"/>
    <x v="1"/>
    <x v="0"/>
    <n v="169"/>
    <n v="3114.69"/>
    <n v="360.43"/>
    <n v="0.1157"/>
    <n v="340.96"/>
    <n v="0.10949999999999999"/>
    <n v="1.73"/>
    <n v="9.4E-2"/>
    <n v="3.4"/>
    <n v="84.61"/>
    <n v="99.02"/>
    <n v="40000"/>
    <n v="3640000"/>
  </r>
  <r>
    <x v="21"/>
    <s v="2024-04"/>
    <s v="2024"/>
    <s v="04"/>
    <x v="5"/>
    <s v="Korean Air"/>
    <s v="South Korea"/>
    <x v="1"/>
    <x v="0"/>
    <n v="169"/>
    <n v="2841.71"/>
    <n v="370.48"/>
    <n v="0.13039999999999999"/>
    <n v="370.95"/>
    <n v="0.1305"/>
    <n v="1.54"/>
    <n v="0.45200000000000001"/>
    <n v="21.92"/>
    <n v="84.06"/>
    <n v="101.78"/>
    <n v="40000"/>
    <n v="3640000"/>
  </r>
  <r>
    <x v="22"/>
    <s v="2024-07"/>
    <s v="2024"/>
    <s v="07"/>
    <x v="5"/>
    <s v="Korean Air"/>
    <s v="South Korea"/>
    <x v="1"/>
    <x v="0"/>
    <n v="169"/>
    <n v="2977.45"/>
    <n v="342.09"/>
    <n v="0.1149"/>
    <n v="336.73"/>
    <n v="0.11310000000000001"/>
    <n v="1.55"/>
    <n v="0.315"/>
    <n v="4.7699999999999996"/>
    <n v="80.400000000000006"/>
    <n v="93.98"/>
    <n v="40000"/>
    <n v="3640000"/>
  </r>
  <r>
    <x v="23"/>
    <s v="2024-10"/>
    <s v="2024"/>
    <s v="10"/>
    <x v="5"/>
    <s v="Korean Air"/>
    <s v="South Korea"/>
    <x v="1"/>
    <x v="0"/>
    <n v="169"/>
    <n v="2947.03"/>
    <n v="409.57"/>
    <n v="0.13900000000000001"/>
    <n v="190.1"/>
    <n v="6.4500000000000002E-2"/>
    <n v="1.67"/>
    <n v="0.34899999999999998"/>
    <n v="35.770000000000003"/>
    <n v="94.78"/>
    <n v="112.52"/>
    <n v="40000"/>
    <n v="3640000"/>
  </r>
  <r>
    <x v="24"/>
    <s v="2025-01"/>
    <s v="2025"/>
    <s v="01"/>
    <x v="6"/>
    <s v="Korean Air"/>
    <s v="South Korea"/>
    <x v="1"/>
    <x v="0"/>
    <n v="169"/>
    <n v="2992.6"/>
    <n v="369.61"/>
    <n v="0.1235"/>
    <n v="296.60000000000002"/>
    <n v="9.9100000000000008E-2"/>
    <n v="1.54"/>
    <n v="0.24100000000000002"/>
    <n v="11.42"/>
    <n v="85.13"/>
    <n v="101.54"/>
    <n v="40000"/>
    <n v="3640000"/>
  </r>
  <r>
    <x v="25"/>
    <s v="2025-04"/>
    <s v="2025"/>
    <s v="04"/>
    <x v="6"/>
    <s v="Korean Air"/>
    <s v="South Korea"/>
    <x v="1"/>
    <x v="0"/>
    <n v="169"/>
    <n v="2927.01"/>
    <n v="438.37"/>
    <n v="0.14980000000000002"/>
    <n v="342.22"/>
    <n v="0.11689999999999999"/>
    <n v="1.48"/>
    <n v="0.183"/>
    <n v="27.12"/>
    <n v="101.77"/>
    <n v="120.43"/>
    <n v="40000"/>
    <n v="3640000"/>
  </r>
  <r>
    <x v="26"/>
    <s v="2025-07"/>
    <s v="2025"/>
    <s v="07"/>
    <x v="6"/>
    <s v="Korean Air"/>
    <s v="South Korea"/>
    <x v="1"/>
    <x v="0"/>
    <n v="169"/>
    <n v="3154.67"/>
    <n v="408.48"/>
    <n v="0.1295"/>
    <n v="220.94"/>
    <n v="7.0000000000000007E-2"/>
    <n v="1.63"/>
    <n v="0.49200000000000005"/>
    <n v="49.62"/>
    <n v="93.24"/>
    <n v="112.22"/>
    <n v="40000"/>
    <n v="3640000"/>
  </r>
  <r>
    <x v="27"/>
    <s v="2025-10"/>
    <s v="2025"/>
    <s v="10"/>
    <x v="6"/>
    <s v="Korean Air"/>
    <s v="South Korea"/>
    <x v="1"/>
    <x v="0"/>
    <n v="169"/>
    <n v="2820.85"/>
    <n v="406.48"/>
    <n v="0.14410000000000001"/>
    <n v="233.09"/>
    <n v="8.2599999999999993E-2"/>
    <n v="1.68"/>
    <n v="0.62"/>
    <n v="60.68"/>
    <n v="99.34"/>
    <n v="111.67"/>
    <n v="40000"/>
    <n v="3640000"/>
  </r>
  <r>
    <x v="28"/>
    <s v="2026-01"/>
    <s v="2026"/>
    <s v="01"/>
    <x v="7"/>
    <s v="Korean Air"/>
    <s v="South Korea"/>
    <x v="1"/>
    <x v="0"/>
    <n v="169"/>
    <n v="2211.92"/>
    <n v="534.35"/>
    <n v="0.24160000000000001"/>
    <n v="-421.95"/>
    <n v="-0.19079999999999997"/>
    <n v="1.25"/>
    <n v="0.14699999999999999"/>
    <n v="49.57"/>
    <n v="130.88"/>
    <n v="146.80000000000001"/>
    <n v="40000"/>
    <n v="3640000"/>
  </r>
  <r>
    <x v="0"/>
    <s v="2019-01"/>
    <s v="2019"/>
    <s v="01"/>
    <x v="0"/>
    <s v="Japan Airlines"/>
    <s v="Japan"/>
    <x v="1"/>
    <x v="0"/>
    <n v="165"/>
    <n v="2981.51"/>
    <n v="285.04000000000002"/>
    <n v="9.5600000000000004E-2"/>
    <n v="246.27"/>
    <n v="8.2599999999999993E-2"/>
    <n v="1.42"/>
    <n v="0.58099999999999996"/>
    <n v="0"/>
    <n v="63"/>
    <n v="74.58"/>
    <n v="42000"/>
    <n v="3822000"/>
  </r>
  <r>
    <x v="1"/>
    <s v="2019-04"/>
    <s v="2019"/>
    <s v="04"/>
    <x v="0"/>
    <s v="Japan Airlines"/>
    <s v="Japan"/>
    <x v="1"/>
    <x v="0"/>
    <n v="165"/>
    <n v="3054.85"/>
    <n v="280.31"/>
    <n v="9.1799999999999993E-2"/>
    <n v="224.92"/>
    <n v="7.3599999999999999E-2"/>
    <n v="1.68"/>
    <n v="0.222"/>
    <n v="0"/>
    <n v="64.790000000000006"/>
    <n v="73.34"/>
    <n v="42000"/>
    <n v="3822000"/>
  </r>
  <r>
    <x v="2"/>
    <s v="2019-07"/>
    <s v="2019"/>
    <s v="07"/>
    <x v="0"/>
    <s v="Japan Airlines"/>
    <s v="Japan"/>
    <x v="1"/>
    <x v="0"/>
    <n v="165"/>
    <n v="3225.42"/>
    <n v="271.77999999999997"/>
    <n v="8.43E-2"/>
    <n v="187.48"/>
    <n v="5.8099999999999999E-2"/>
    <n v="1.69"/>
    <n v="0.5"/>
    <n v="0"/>
    <n v="60.46"/>
    <n v="71.11"/>
    <n v="42000"/>
    <n v="3822000"/>
  </r>
  <r>
    <x v="3"/>
    <s v="2019-10"/>
    <s v="2019"/>
    <s v="10"/>
    <x v="0"/>
    <s v="Japan Airlines"/>
    <s v="Japan"/>
    <x v="1"/>
    <x v="0"/>
    <n v="165"/>
    <n v="3101.1"/>
    <n v="294.18"/>
    <n v="9.4899999999999998E-2"/>
    <n v="146.31"/>
    <n v="4.7199999999999999E-2"/>
    <n v="1.69"/>
    <n v="0.32100000000000001"/>
    <n v="0"/>
    <n v="65.66"/>
    <n v="76.97"/>
    <n v="42000"/>
    <n v="3822000"/>
  </r>
  <r>
    <x v="4"/>
    <s v="2020-01"/>
    <s v="2020"/>
    <s v="01"/>
    <x v="0"/>
    <s v="Japan Airlines"/>
    <s v="Japan"/>
    <x v="1"/>
    <x v="0"/>
    <n v="165"/>
    <n v="3047.74"/>
    <n v="288.10000000000002"/>
    <n v="9.4499999999999987E-2"/>
    <n v="424.49"/>
    <n v="0.13930000000000001"/>
    <n v="1.71"/>
    <n v="2.5000000000000001E-2"/>
    <n v="0"/>
    <n v="66.66"/>
    <n v="75.38"/>
    <n v="42000"/>
    <n v="3822000"/>
  </r>
  <r>
    <x v="5"/>
    <s v="2020-04"/>
    <s v="2020"/>
    <s v="04"/>
    <x v="1"/>
    <s v="Japan Airlines"/>
    <s v="Japan"/>
    <x v="1"/>
    <x v="0"/>
    <n v="165"/>
    <n v="826.35"/>
    <n v="90.54"/>
    <n v="0.1096"/>
    <n v="-298.61"/>
    <n v="-0.3614"/>
    <n v="0.39"/>
    <n v="6.9999999999999993E-3"/>
    <n v="0"/>
    <n v="20.57"/>
    <n v="23.69"/>
    <n v="42000"/>
    <n v="3822000"/>
  </r>
  <r>
    <x v="6"/>
    <s v="2020-07"/>
    <s v="2020"/>
    <s v="07"/>
    <x v="1"/>
    <s v="Japan Airlines"/>
    <s v="Japan"/>
    <x v="1"/>
    <x v="0"/>
    <n v="165"/>
    <n v="820.26"/>
    <n v="192.74"/>
    <n v="0.23499999999999999"/>
    <n v="-303.47000000000003"/>
    <n v="-0.37"/>
    <n v="0.44"/>
    <n v="0.29499999999999998"/>
    <n v="0"/>
    <n v="44.05"/>
    <n v="50.43"/>
    <n v="42000"/>
    <n v="3822000"/>
  </r>
  <r>
    <x v="7"/>
    <s v="2020-10"/>
    <s v="2020"/>
    <s v="10"/>
    <x v="1"/>
    <s v="Japan Airlines"/>
    <s v="Japan"/>
    <x v="1"/>
    <x v="0"/>
    <n v="165"/>
    <n v="932.65"/>
    <n v="174.51"/>
    <n v="0.18710000000000002"/>
    <n v="-230.12"/>
    <n v="-0.24670000000000003"/>
    <n v="0.5"/>
    <n v="0.27200000000000002"/>
    <n v="0"/>
    <n v="39.950000000000003"/>
    <n v="45.66"/>
    <n v="42000"/>
    <n v="3822000"/>
  </r>
  <r>
    <x v="8"/>
    <s v="2021-01"/>
    <s v="2021"/>
    <s v="01"/>
    <x v="1"/>
    <s v="Japan Airlines"/>
    <s v="Japan"/>
    <x v="1"/>
    <x v="0"/>
    <n v="165"/>
    <n v="1069.1600000000001"/>
    <n v="327.81"/>
    <n v="0.30659999999999998"/>
    <n v="-399.15"/>
    <n v="-0.37329999999999997"/>
    <n v="0.56000000000000005"/>
    <n v="0.33799999999999997"/>
    <n v="0"/>
    <n v="75.489999999999995"/>
    <n v="85.77"/>
    <n v="42000"/>
    <n v="3822000"/>
  </r>
  <r>
    <x v="9"/>
    <s v="2021-04"/>
    <s v="2021"/>
    <s v="04"/>
    <x v="1"/>
    <s v="Japan Airlines"/>
    <s v="Japan"/>
    <x v="1"/>
    <x v="0"/>
    <n v="165"/>
    <n v="724.68"/>
    <n v="347.5"/>
    <n v="0.47950000000000004"/>
    <n v="-304.11"/>
    <n v="-0.41960000000000003"/>
    <n v="0.37"/>
    <n v="0.14000000000000001"/>
    <n v="0.5"/>
    <n v="76.83"/>
    <n v="90.92"/>
    <n v="42000"/>
    <n v="3822000"/>
  </r>
  <r>
    <x v="10"/>
    <s v="2021-07"/>
    <s v="2021"/>
    <s v="07"/>
    <x v="2"/>
    <s v="Japan Airlines"/>
    <s v="Japan"/>
    <x v="1"/>
    <x v="0"/>
    <n v="165"/>
    <n v="2552.16"/>
    <n v="343.67"/>
    <n v="0.13470000000000001"/>
    <n v="89.83"/>
    <n v="3.5200000000000002E-2"/>
    <n v="1.27"/>
    <n v="0.36799999999999999"/>
    <n v="0"/>
    <n v="78.97"/>
    <n v="89.92"/>
    <n v="42000"/>
    <n v="3822000"/>
  </r>
  <r>
    <x v="11"/>
    <s v="2021-10"/>
    <s v="2021"/>
    <s v="10"/>
    <x v="2"/>
    <s v="Japan Airlines"/>
    <s v="Japan"/>
    <x v="1"/>
    <x v="0"/>
    <n v="165"/>
    <n v="2523.4699999999998"/>
    <n v="398.44"/>
    <n v="0.15789999999999998"/>
    <n v="180.37"/>
    <n v="7.1500000000000008E-2"/>
    <n v="1.2"/>
    <n v="0.51100000000000001"/>
    <n v="32.24"/>
    <n v="86.82"/>
    <n v="104.25"/>
    <n v="42000"/>
    <n v="3822000"/>
  </r>
  <r>
    <x v="12"/>
    <s v="2022-01"/>
    <s v="2022"/>
    <s v="01"/>
    <x v="2"/>
    <s v="Japan Airlines"/>
    <s v="Japan"/>
    <x v="1"/>
    <x v="0"/>
    <n v="165"/>
    <n v="2593.0300000000002"/>
    <n v="311.26"/>
    <n v="0.12"/>
    <n v="27.85"/>
    <n v="1.0700000000000001E-2"/>
    <n v="1.48"/>
    <n v="0.622"/>
    <n v="0"/>
    <n v="72.010000000000005"/>
    <n v="81.44"/>
    <n v="42000"/>
    <n v="3822000"/>
  </r>
  <r>
    <x v="13"/>
    <s v="2022-04"/>
    <s v="2022"/>
    <s v="04"/>
    <x v="3"/>
    <s v="Japan Airlines"/>
    <s v="Japan"/>
    <x v="1"/>
    <x v="0"/>
    <n v="165"/>
    <n v="3171.49"/>
    <n v="503.09"/>
    <n v="0.15859999999999999"/>
    <n v="278.48"/>
    <n v="8.7799999999999989E-2"/>
    <n v="1.58"/>
    <n v="0.59599999999999997"/>
    <n v="138.69"/>
    <n v="109.53"/>
    <n v="131.63"/>
    <n v="42000"/>
    <n v="3822000"/>
  </r>
  <r>
    <x v="14"/>
    <s v="2022-07"/>
    <s v="2022"/>
    <s v="07"/>
    <x v="3"/>
    <s v="Japan Airlines"/>
    <s v="Japan"/>
    <x v="1"/>
    <x v="0"/>
    <n v="165"/>
    <n v="3131.51"/>
    <n v="361.14"/>
    <n v="0.1153"/>
    <n v="190.31"/>
    <n v="6.08E-2"/>
    <n v="1.74"/>
    <n v="0.57799999999999996"/>
    <n v="10.41"/>
    <n v="80.69"/>
    <n v="94.49"/>
    <n v="42000"/>
    <n v="3822000"/>
  </r>
  <r>
    <x v="15"/>
    <s v="2022-10"/>
    <s v="2022"/>
    <s v="10"/>
    <x v="3"/>
    <s v="Japan Airlines"/>
    <s v="Japan"/>
    <x v="1"/>
    <x v="0"/>
    <n v="165"/>
    <n v="3198.77"/>
    <n v="403.45"/>
    <n v="0.12609999999999999"/>
    <n v="70.38"/>
    <n v="2.2000000000000002E-2"/>
    <n v="1.7"/>
    <n v="0.53400000000000003"/>
    <n v="37.25"/>
    <n v="93.25"/>
    <n v="105.56"/>
    <n v="42000"/>
    <n v="3822000"/>
  </r>
  <r>
    <x v="16"/>
    <s v="2023-01"/>
    <s v="2023"/>
    <s v="01"/>
    <x v="4"/>
    <s v="Japan Airlines"/>
    <s v="Japan"/>
    <x v="1"/>
    <x v="0"/>
    <n v="165"/>
    <n v="3139.22"/>
    <n v="371.23"/>
    <n v="0.1183"/>
    <n v="419.04"/>
    <n v="0.13350000000000001"/>
    <n v="1.76"/>
    <n v="0.34399999999999997"/>
    <n v="10.119999999999999"/>
    <n v="84.29"/>
    <n v="97.13"/>
    <n v="42000"/>
    <n v="3822000"/>
  </r>
  <r>
    <x v="17"/>
    <s v="2023-04"/>
    <s v="2023"/>
    <s v="04"/>
    <x v="4"/>
    <s v="Japan Airlines"/>
    <s v="Japan"/>
    <x v="1"/>
    <x v="0"/>
    <n v="165"/>
    <n v="3082.68"/>
    <n v="389.73"/>
    <n v="0.12640000000000001"/>
    <n v="140.29"/>
    <n v="4.5499999999999999E-2"/>
    <n v="1.65"/>
    <n v="0.17300000000000001"/>
    <n v="8.9700000000000006"/>
    <n v="88.18"/>
    <n v="101.97"/>
    <n v="42000"/>
    <n v="3822000"/>
  </r>
  <r>
    <x v="18"/>
    <s v="2023-07"/>
    <s v="2023"/>
    <s v="07"/>
    <x v="4"/>
    <s v="Japan Airlines"/>
    <s v="Japan"/>
    <x v="1"/>
    <x v="0"/>
    <n v="165"/>
    <n v="3188.46"/>
    <n v="372.72"/>
    <n v="0.11689999999999999"/>
    <n v="382.22"/>
    <n v="0.11990000000000001"/>
    <n v="1.63"/>
    <n v="0.01"/>
    <n v="0.31"/>
    <n v="85.16"/>
    <n v="97.52"/>
    <n v="42000"/>
    <n v="3822000"/>
  </r>
  <r>
    <x v="19"/>
    <s v="2023-10"/>
    <s v="2023"/>
    <s v="10"/>
    <x v="5"/>
    <s v="Japan Airlines"/>
    <s v="Japan"/>
    <x v="1"/>
    <x v="0"/>
    <n v="165"/>
    <n v="3267.14"/>
    <n v="343.83"/>
    <n v="0.1052"/>
    <n v="310.05"/>
    <n v="9.4899999999999998E-2"/>
    <n v="1.64"/>
    <n v="0.41200000000000003"/>
    <n v="0"/>
    <n v="78.33"/>
    <n v="89.96"/>
    <n v="42000"/>
    <n v="3822000"/>
  </r>
  <r>
    <x v="20"/>
    <s v="2024-01"/>
    <s v="2024"/>
    <s v="01"/>
    <x v="5"/>
    <s v="Japan Airlines"/>
    <s v="Japan"/>
    <x v="1"/>
    <x v="0"/>
    <n v="165"/>
    <n v="3190.84"/>
    <n v="378.45"/>
    <n v="0.1186"/>
    <n v="174.69"/>
    <n v="5.4699999999999999E-2"/>
    <n v="1.71"/>
    <n v="0.18600000000000003"/>
    <n v="7.05"/>
    <n v="84.61"/>
    <n v="99.02"/>
    <n v="42000"/>
    <n v="3822000"/>
  </r>
  <r>
    <x v="21"/>
    <s v="2024-04"/>
    <s v="2024"/>
    <s v="04"/>
    <x v="5"/>
    <s v="Japan Airlines"/>
    <s v="Japan"/>
    <x v="1"/>
    <x v="0"/>
    <n v="165"/>
    <n v="3242.5"/>
    <n v="389"/>
    <n v="0.12"/>
    <n v="434.98"/>
    <n v="0.13419999999999999"/>
    <n v="1.55"/>
    <n v="0.59599999999999997"/>
    <n v="30.35"/>
    <n v="84.06"/>
    <n v="101.78"/>
    <n v="42000"/>
    <n v="3822000"/>
  </r>
  <r>
    <x v="22"/>
    <s v="2024-07"/>
    <s v="2024"/>
    <s v="07"/>
    <x v="5"/>
    <s v="Japan Airlines"/>
    <s v="Japan"/>
    <x v="1"/>
    <x v="0"/>
    <n v="165"/>
    <n v="3282.4"/>
    <n v="359.19"/>
    <n v="0.1094"/>
    <n v="243.85"/>
    <n v="7.4299999999999991E-2"/>
    <n v="1.55"/>
    <n v="0.43099999999999999"/>
    <n v="6.85"/>
    <n v="80.400000000000006"/>
    <n v="93.98"/>
    <n v="42000"/>
    <n v="3822000"/>
  </r>
  <r>
    <x v="23"/>
    <s v="2024-10"/>
    <s v="2024"/>
    <s v="10"/>
    <x v="5"/>
    <s v="Japan Airlines"/>
    <s v="Japan"/>
    <x v="1"/>
    <x v="0"/>
    <n v="165"/>
    <n v="3059.05"/>
    <n v="430.05"/>
    <n v="0.1406"/>
    <n v="180.99"/>
    <n v="5.9200000000000003E-2"/>
    <n v="1.47"/>
    <n v="0.127"/>
    <n v="13.67"/>
    <n v="94.78"/>
    <n v="112.52"/>
    <n v="42000"/>
    <n v="3822000"/>
  </r>
  <r>
    <x v="24"/>
    <s v="2025-01"/>
    <s v="2025"/>
    <s v="01"/>
    <x v="6"/>
    <s v="Japan Airlines"/>
    <s v="Japan"/>
    <x v="1"/>
    <x v="0"/>
    <n v="165"/>
    <n v="3016.18"/>
    <n v="388.09"/>
    <n v="0.12869999999999998"/>
    <n v="360.68"/>
    <n v="0.11960000000000001"/>
    <n v="1.66"/>
    <n v="0.32100000000000001"/>
    <n v="15.97"/>
    <n v="85.13"/>
    <n v="101.54"/>
    <n v="42000"/>
    <n v="3822000"/>
  </r>
  <r>
    <x v="25"/>
    <s v="2025-04"/>
    <s v="2025"/>
    <s v="04"/>
    <x v="6"/>
    <s v="Japan Airlines"/>
    <s v="Japan"/>
    <x v="1"/>
    <x v="0"/>
    <n v="165"/>
    <n v="3142.44"/>
    <n v="460.28"/>
    <n v="0.14649999999999999"/>
    <n v="414.12"/>
    <n v="0.1318"/>
    <n v="1.77"/>
    <n v="0.53900000000000003"/>
    <n v="83.88"/>
    <n v="101.77"/>
    <n v="120.43"/>
    <n v="42000"/>
    <n v="3822000"/>
  </r>
  <r>
    <x v="26"/>
    <s v="2025-07"/>
    <s v="2025"/>
    <s v="07"/>
    <x v="6"/>
    <s v="Japan Airlines"/>
    <s v="Japan"/>
    <x v="1"/>
    <x v="0"/>
    <n v="165"/>
    <n v="3070.87"/>
    <n v="428.9"/>
    <n v="0.13970000000000002"/>
    <n v="235.4"/>
    <n v="7.6700000000000004E-2"/>
    <n v="1.72"/>
    <n v="0.60199999999999998"/>
    <n v="63.75"/>
    <n v="93.24"/>
    <n v="112.22"/>
    <n v="42000"/>
    <n v="3822000"/>
  </r>
  <r>
    <x v="27"/>
    <s v="2025-10"/>
    <s v="2025"/>
    <s v="10"/>
    <x v="6"/>
    <s v="Japan Airlines"/>
    <s v="Japan"/>
    <x v="1"/>
    <x v="0"/>
    <n v="165"/>
    <n v="3240.43"/>
    <n v="426.8"/>
    <n v="0.13170000000000001"/>
    <n v="374.96"/>
    <n v="0.1157"/>
    <n v="1.71"/>
    <n v="0.22"/>
    <n v="22.61"/>
    <n v="99.34"/>
    <n v="111.67"/>
    <n v="42000"/>
    <n v="3822000"/>
  </r>
  <r>
    <x v="28"/>
    <s v="2026-01"/>
    <s v="2026"/>
    <s v="01"/>
    <x v="7"/>
    <s v="Japan Airlines"/>
    <s v="Japan"/>
    <x v="1"/>
    <x v="0"/>
    <n v="165"/>
    <n v="2300.4899999999998"/>
    <n v="561.07000000000005"/>
    <n v="0.24390000000000001"/>
    <n v="-510.55"/>
    <n v="-0.22190000000000001"/>
    <n v="1.25"/>
    <n v="0.505"/>
    <n v="178.82"/>
    <n v="130.88"/>
    <n v="146.80000000000001"/>
    <n v="42000"/>
    <n v="3822000"/>
  </r>
  <r>
    <x v="0"/>
    <s v="2019-01"/>
    <s v="2019"/>
    <s v="01"/>
    <x v="0"/>
    <s v="Lufthansa"/>
    <s v="Germany"/>
    <x v="2"/>
    <x v="0"/>
    <n v="704"/>
    <n v="9069.2800000000007"/>
    <n v="610.80999999999995"/>
    <n v="6.7299999999999999E-2"/>
    <n v="368.25"/>
    <n v="4.0599999999999997E-2"/>
    <n v="7.4"/>
    <n v="0.28399999999999997"/>
    <n v="0"/>
    <n v="63"/>
    <n v="74.58"/>
    <n v="90000"/>
    <n v="8190000"/>
  </r>
  <r>
    <x v="1"/>
    <s v="2019-04"/>
    <s v="2019"/>
    <s v="04"/>
    <x v="0"/>
    <s v="Lufthansa"/>
    <s v="Germany"/>
    <x v="2"/>
    <x v="0"/>
    <n v="704"/>
    <n v="9797.94"/>
    <n v="600.65"/>
    <n v="6.13E-2"/>
    <n v="1055.5899999999999"/>
    <n v="0.10769999999999999"/>
    <n v="6.8"/>
    <n v="0.21299999999999999"/>
    <n v="0"/>
    <n v="64.790000000000006"/>
    <n v="73.34"/>
    <n v="90000"/>
    <n v="8190000"/>
  </r>
  <r>
    <x v="2"/>
    <s v="2019-07"/>
    <s v="2019"/>
    <s v="07"/>
    <x v="0"/>
    <s v="Lufthansa"/>
    <s v="Germany"/>
    <x v="2"/>
    <x v="0"/>
    <n v="704"/>
    <n v="9422.2900000000009"/>
    <n v="582.39"/>
    <n v="6.1799999999999994E-2"/>
    <n v="988.64"/>
    <n v="0.10490000000000001"/>
    <n v="6.69"/>
    <n v="0.115"/>
    <n v="0"/>
    <n v="60.46"/>
    <n v="71.11"/>
    <n v="90000"/>
    <n v="8190000"/>
  </r>
  <r>
    <x v="3"/>
    <s v="2019-10"/>
    <s v="2019"/>
    <s v="10"/>
    <x v="0"/>
    <s v="Lufthansa"/>
    <s v="Germany"/>
    <x v="2"/>
    <x v="0"/>
    <n v="704"/>
    <n v="8972.44"/>
    <n v="630.38"/>
    <n v="7.0300000000000001E-2"/>
    <n v="1064.93"/>
    <n v="0.11869999999999999"/>
    <n v="6.39"/>
    <n v="0.45600000000000002"/>
    <n v="0"/>
    <n v="65.66"/>
    <n v="76.97"/>
    <n v="90000"/>
    <n v="8190000"/>
  </r>
  <r>
    <x v="4"/>
    <s v="2020-01"/>
    <s v="2020"/>
    <s v="01"/>
    <x v="0"/>
    <s v="Lufthansa"/>
    <s v="Germany"/>
    <x v="2"/>
    <x v="0"/>
    <n v="704"/>
    <n v="9674.2099999999991"/>
    <n v="617.36"/>
    <n v="6.3799999999999996E-2"/>
    <n v="765.83"/>
    <n v="7.9199999999999993E-2"/>
    <n v="6.54"/>
    <n v="9.1999999999999998E-2"/>
    <n v="0"/>
    <n v="66.66"/>
    <n v="75.38"/>
    <n v="90000"/>
    <n v="8190000"/>
  </r>
  <r>
    <x v="5"/>
    <s v="2020-04"/>
    <s v="2020"/>
    <s v="04"/>
    <x v="1"/>
    <s v="Lufthansa"/>
    <s v="Germany"/>
    <x v="2"/>
    <x v="0"/>
    <n v="704"/>
    <n v="1932.65"/>
    <n v="194.02"/>
    <n v="0.10039999999999999"/>
    <n v="-777.91"/>
    <n v="-0.40250000000000002"/>
    <n v="1.39"/>
    <n v="0.35399999999999998"/>
    <n v="0"/>
    <n v="20.57"/>
    <n v="23.69"/>
    <n v="90000"/>
    <n v="8190000"/>
  </r>
  <r>
    <x v="6"/>
    <s v="2020-07"/>
    <s v="2020"/>
    <s v="07"/>
    <x v="1"/>
    <s v="Lufthansa"/>
    <s v="Germany"/>
    <x v="2"/>
    <x v="0"/>
    <n v="704"/>
    <n v="1403.37"/>
    <n v="413.02"/>
    <n v="0.29430000000000001"/>
    <n v="-608.96"/>
    <n v="-0.43390000000000001"/>
    <n v="1.1299999999999999"/>
    <n v="0.34"/>
    <n v="0"/>
    <n v="44.05"/>
    <n v="50.43"/>
    <n v="90000"/>
    <n v="8190000"/>
  </r>
  <r>
    <x v="7"/>
    <s v="2020-10"/>
    <s v="2020"/>
    <s v="10"/>
    <x v="1"/>
    <s v="Lufthansa"/>
    <s v="Germany"/>
    <x v="2"/>
    <x v="0"/>
    <n v="704"/>
    <n v="3067.67"/>
    <n v="373.96"/>
    <n v="0.12189999999999999"/>
    <n v="-1377.94"/>
    <n v="-0.44920000000000004"/>
    <n v="2.0699999999999998"/>
    <n v="0.48100000000000004"/>
    <n v="0"/>
    <n v="39.950000000000003"/>
    <n v="45.66"/>
    <n v="90000"/>
    <n v="8190000"/>
  </r>
  <r>
    <x v="8"/>
    <s v="2021-01"/>
    <s v="2021"/>
    <s v="01"/>
    <x v="1"/>
    <s v="Lufthansa"/>
    <s v="Germany"/>
    <x v="2"/>
    <x v="0"/>
    <n v="704"/>
    <n v="2231.7800000000002"/>
    <n v="702.46"/>
    <n v="0.31480000000000002"/>
    <n v="-494.45"/>
    <n v="-0.22159999999999999"/>
    <n v="1.77"/>
    <n v="0.32799999999999996"/>
    <n v="0"/>
    <n v="75.489999999999995"/>
    <n v="85.77"/>
    <n v="90000"/>
    <n v="8190000"/>
  </r>
  <r>
    <x v="9"/>
    <s v="2021-04"/>
    <s v="2021"/>
    <s v="04"/>
    <x v="1"/>
    <s v="Lufthansa"/>
    <s v="Germany"/>
    <x v="2"/>
    <x v="0"/>
    <n v="704"/>
    <n v="2235.91"/>
    <n v="744.63"/>
    <n v="0.33299999999999996"/>
    <n v="-552.73"/>
    <n v="-0.24719999999999998"/>
    <n v="1.78"/>
    <n v="0.18"/>
    <n v="1.37"/>
    <n v="76.83"/>
    <n v="90.92"/>
    <n v="90000"/>
    <n v="8190000"/>
  </r>
  <r>
    <x v="10"/>
    <s v="2021-07"/>
    <s v="2021"/>
    <s v="07"/>
    <x v="2"/>
    <s v="Lufthansa"/>
    <s v="Germany"/>
    <x v="2"/>
    <x v="0"/>
    <n v="704"/>
    <n v="7142.84"/>
    <n v="736.44"/>
    <n v="0.10310000000000001"/>
    <n v="240.12"/>
    <n v="3.3599999999999998E-2"/>
    <n v="5.74"/>
    <n v="0.56499999999999995"/>
    <n v="0"/>
    <n v="78.97"/>
    <n v="89.92"/>
    <n v="90000"/>
    <n v="8190000"/>
  </r>
  <r>
    <x v="11"/>
    <s v="2021-10"/>
    <s v="2021"/>
    <s v="10"/>
    <x v="2"/>
    <s v="Lufthansa"/>
    <s v="Germany"/>
    <x v="2"/>
    <x v="0"/>
    <n v="704"/>
    <n v="6403.27"/>
    <n v="853.81"/>
    <n v="0.1333"/>
    <n v="412.16"/>
    <n v="6.4399999999999999E-2"/>
    <n v="5.21"/>
    <n v="7.0999999999999994E-2"/>
    <n v="9.6"/>
    <n v="86.82"/>
    <n v="104.25"/>
    <n v="90000"/>
    <n v="8190000"/>
  </r>
  <r>
    <x v="12"/>
    <s v="2022-01"/>
    <s v="2022"/>
    <s v="01"/>
    <x v="2"/>
    <s v="Lufthansa"/>
    <s v="Germany"/>
    <x v="2"/>
    <x v="0"/>
    <n v="704"/>
    <n v="6959.22"/>
    <n v="666.99"/>
    <n v="9.5799999999999996E-2"/>
    <n v="46.91"/>
    <n v="6.7000000000000002E-3"/>
    <n v="5.12"/>
    <n v="0.45799999999999996"/>
    <n v="0"/>
    <n v="72.010000000000005"/>
    <n v="81.44"/>
    <n v="90000"/>
    <n v="8190000"/>
  </r>
  <r>
    <x v="13"/>
    <s v="2022-04"/>
    <s v="2022"/>
    <s v="04"/>
    <x v="3"/>
    <s v="Lufthansa"/>
    <s v="Germany"/>
    <x v="2"/>
    <x v="0"/>
    <n v="704"/>
    <n v="8425.81"/>
    <n v="1078.05"/>
    <n v="0.12789999999999999"/>
    <n v="721.21"/>
    <n v="8.5600000000000009E-2"/>
    <n v="5.72"/>
    <n v="0.376"/>
    <n v="187.5"/>
    <n v="109.53"/>
    <n v="131.63"/>
    <n v="90000"/>
    <n v="8190000"/>
  </r>
  <r>
    <x v="14"/>
    <s v="2022-07"/>
    <s v="2022"/>
    <s v="07"/>
    <x v="3"/>
    <s v="Lufthansa"/>
    <s v="Germany"/>
    <x v="2"/>
    <x v="0"/>
    <n v="704"/>
    <n v="8600.16"/>
    <n v="773.87"/>
    <n v="0.09"/>
    <n v="631.23"/>
    <n v="7.3399999999999993E-2"/>
    <n v="6.49"/>
    <n v="0.65"/>
    <n v="25.09"/>
    <n v="80.69"/>
    <n v="94.49"/>
    <n v="90000"/>
    <n v="8190000"/>
  </r>
  <r>
    <x v="15"/>
    <s v="2022-10"/>
    <s v="2022"/>
    <s v="10"/>
    <x v="3"/>
    <s v="Lufthansa"/>
    <s v="Germany"/>
    <x v="2"/>
    <x v="0"/>
    <n v="704"/>
    <n v="9759.43"/>
    <n v="864.54"/>
    <n v="8.8599999999999998E-2"/>
    <n v="458.02"/>
    <n v="4.6900000000000004E-2"/>
    <n v="7.37"/>
    <n v="0.20699999999999999"/>
    <n v="30.94"/>
    <n v="93.25"/>
    <n v="105.56"/>
    <n v="90000"/>
    <n v="8190000"/>
  </r>
  <r>
    <x v="16"/>
    <s v="2023-01"/>
    <s v="2023"/>
    <s v="01"/>
    <x v="4"/>
    <s v="Lufthansa"/>
    <s v="Germany"/>
    <x v="2"/>
    <x v="0"/>
    <n v="704"/>
    <n v="9507.16"/>
    <n v="795.49"/>
    <n v="8.3699999999999997E-2"/>
    <n v="781.88"/>
    <n v="8.2200000000000009E-2"/>
    <n v="6.59"/>
    <n v="0.43"/>
    <n v="27.1"/>
    <n v="84.29"/>
    <n v="97.13"/>
    <n v="90000"/>
    <n v="8190000"/>
  </r>
  <r>
    <x v="17"/>
    <s v="2023-04"/>
    <s v="2023"/>
    <s v="04"/>
    <x v="4"/>
    <s v="Lufthansa"/>
    <s v="Germany"/>
    <x v="2"/>
    <x v="0"/>
    <n v="704"/>
    <n v="8658.09"/>
    <n v="835.13"/>
    <n v="9.6500000000000002E-2"/>
    <n v="603.72"/>
    <n v="6.9699999999999998E-2"/>
    <n v="7.03"/>
    <n v="6.0999999999999999E-2"/>
    <n v="6.78"/>
    <n v="88.18"/>
    <n v="101.97"/>
    <n v="90000"/>
    <n v="8190000"/>
  </r>
  <r>
    <x v="18"/>
    <s v="2023-07"/>
    <s v="2023"/>
    <s v="07"/>
    <x v="4"/>
    <s v="Lufthansa"/>
    <s v="Germany"/>
    <x v="2"/>
    <x v="0"/>
    <n v="704"/>
    <n v="9241.74"/>
    <n v="798.69"/>
    <n v="8.6400000000000005E-2"/>
    <n v="1104.47"/>
    <n v="0.1195"/>
    <n v="7.5"/>
    <n v="0.36399999999999999"/>
    <n v="24.29"/>
    <n v="85.16"/>
    <n v="97.52"/>
    <n v="90000"/>
    <n v="8190000"/>
  </r>
  <r>
    <x v="19"/>
    <s v="2023-10"/>
    <s v="2023"/>
    <s v="10"/>
    <x v="5"/>
    <s v="Lufthansa"/>
    <s v="Germany"/>
    <x v="2"/>
    <x v="0"/>
    <n v="704"/>
    <n v="8826.2099999999991"/>
    <n v="736.77"/>
    <n v="8.3499999999999991E-2"/>
    <n v="1183.47"/>
    <n v="0.1341"/>
    <n v="6.95"/>
    <n v="0.25700000000000001"/>
    <n v="0"/>
    <n v="78.33"/>
    <n v="89.96"/>
    <n v="90000"/>
    <n v="8190000"/>
  </r>
  <r>
    <x v="20"/>
    <s v="2024-01"/>
    <s v="2024"/>
    <s v="01"/>
    <x v="5"/>
    <s v="Lufthansa"/>
    <s v="Germany"/>
    <x v="2"/>
    <x v="0"/>
    <n v="704"/>
    <n v="8972.67"/>
    <n v="810.97"/>
    <n v="9.0399999999999994E-2"/>
    <n v="401.72"/>
    <n v="4.4800000000000006E-2"/>
    <n v="6.32"/>
    <n v="0.505"/>
    <n v="41.05"/>
    <n v="84.61"/>
    <n v="99.02"/>
    <n v="90000"/>
    <n v="8190000"/>
  </r>
  <r>
    <x v="21"/>
    <s v="2024-04"/>
    <s v="2024"/>
    <s v="04"/>
    <x v="5"/>
    <s v="Lufthansa"/>
    <s v="Germany"/>
    <x v="2"/>
    <x v="0"/>
    <n v="704"/>
    <n v="8773.51"/>
    <n v="833.58"/>
    <n v="9.5000000000000001E-2"/>
    <n v="464.48"/>
    <n v="5.2900000000000003E-2"/>
    <n v="6.18"/>
    <n v="0.25700000000000001"/>
    <n v="28.04"/>
    <n v="84.06"/>
    <n v="101.78"/>
    <n v="90000"/>
    <n v="8190000"/>
  </r>
  <r>
    <x v="22"/>
    <s v="2024-07"/>
    <s v="2024"/>
    <s v="07"/>
    <x v="5"/>
    <s v="Lufthansa"/>
    <s v="Germany"/>
    <x v="2"/>
    <x v="0"/>
    <n v="704"/>
    <n v="8868.67"/>
    <n v="769.7"/>
    <n v="8.6800000000000002E-2"/>
    <n v="1156.74"/>
    <n v="0.13039999999999999"/>
    <n v="6.33"/>
    <n v="0.59799999999999998"/>
    <n v="20.350000000000001"/>
    <n v="80.400000000000006"/>
    <n v="93.98"/>
    <n v="90000"/>
    <n v="8190000"/>
  </r>
  <r>
    <x v="23"/>
    <s v="2024-10"/>
    <s v="2024"/>
    <s v="10"/>
    <x v="5"/>
    <s v="Lufthansa"/>
    <s v="Germany"/>
    <x v="2"/>
    <x v="0"/>
    <n v="704"/>
    <n v="9810.19"/>
    <n v="921.54"/>
    <n v="9.3900000000000011E-2"/>
    <n v="1132.8800000000001"/>
    <n v="0.11550000000000001"/>
    <n v="6.64"/>
    <n v="0.156"/>
    <n v="35.97"/>
    <n v="94.78"/>
    <n v="112.52"/>
    <n v="90000"/>
    <n v="8190000"/>
  </r>
  <r>
    <x v="24"/>
    <s v="2025-01"/>
    <s v="2025"/>
    <s v="01"/>
    <x v="6"/>
    <s v="Lufthansa"/>
    <s v="Germany"/>
    <x v="2"/>
    <x v="0"/>
    <n v="704"/>
    <n v="8961.26"/>
    <n v="831.61"/>
    <n v="9.2799999999999994E-2"/>
    <n v="844.83"/>
    <n v="9.4299999999999995E-2"/>
    <n v="6.27"/>
    <n v="0.05"/>
    <n v="5.33"/>
    <n v="85.13"/>
    <n v="101.54"/>
    <n v="90000"/>
    <n v="8190000"/>
  </r>
  <r>
    <x v="25"/>
    <s v="2025-04"/>
    <s v="2025"/>
    <s v="04"/>
    <x v="6"/>
    <s v="Lufthansa"/>
    <s v="Germany"/>
    <x v="2"/>
    <x v="0"/>
    <n v="704"/>
    <n v="8853.6299999999992"/>
    <n v="986.32"/>
    <n v="0.1114"/>
    <n v="643.97"/>
    <n v="7.2700000000000001E-2"/>
    <n v="6.05"/>
    <n v="0.127"/>
    <n v="42.35"/>
    <n v="101.77"/>
    <n v="120.43"/>
    <n v="90000"/>
    <n v="8190000"/>
  </r>
  <r>
    <x v="26"/>
    <s v="2025-07"/>
    <s v="2025"/>
    <s v="07"/>
    <x v="6"/>
    <s v="Lufthansa"/>
    <s v="Germany"/>
    <x v="2"/>
    <x v="0"/>
    <n v="704"/>
    <n v="8843.18"/>
    <n v="919.08"/>
    <n v="0.10390000000000001"/>
    <n v="1036.74"/>
    <n v="0.11720000000000001"/>
    <n v="6.2"/>
    <n v="0.51500000000000001"/>
    <n v="116.86"/>
    <n v="93.24"/>
    <n v="112.22"/>
    <n v="90000"/>
    <n v="8190000"/>
  </r>
  <r>
    <x v="27"/>
    <s v="2025-10"/>
    <s v="2025"/>
    <s v="10"/>
    <x v="6"/>
    <s v="Lufthansa"/>
    <s v="Germany"/>
    <x v="2"/>
    <x v="0"/>
    <n v="704"/>
    <n v="9246.18"/>
    <n v="914.58"/>
    <n v="9.8900000000000002E-2"/>
    <n v="1070.57"/>
    <n v="0.1158"/>
    <n v="6.87"/>
    <n v="0.58599999999999997"/>
    <n v="129.04"/>
    <n v="99.34"/>
    <n v="111.67"/>
    <n v="90000"/>
    <n v="8190000"/>
  </r>
  <r>
    <x v="28"/>
    <s v="2026-01"/>
    <s v="2026"/>
    <s v="01"/>
    <x v="7"/>
    <s v="Lufthansa"/>
    <s v="Germany"/>
    <x v="2"/>
    <x v="0"/>
    <n v="704"/>
    <n v="6873.26"/>
    <n v="1202.29"/>
    <n v="0.17489999999999997"/>
    <n v="-664.22"/>
    <n v="-9.6600000000000005E-2"/>
    <n v="4.8099999999999996"/>
    <n v="0.57399999999999995"/>
    <n v="435.54"/>
    <n v="130.88"/>
    <n v="146.80000000000001"/>
    <n v="90000"/>
    <n v="8190000"/>
  </r>
  <r>
    <x v="0"/>
    <s v="2019-01"/>
    <s v="2019"/>
    <s v="01"/>
    <x v="0"/>
    <s v="British Airways"/>
    <s v="UK"/>
    <x v="2"/>
    <x v="0"/>
    <n v="290"/>
    <n v="3385.63"/>
    <n v="420.78"/>
    <n v="0.12429999999999999"/>
    <n v="290.3"/>
    <n v="8.5699999999999998E-2"/>
    <n v="2.64"/>
    <n v="0.40500000000000003"/>
    <n v="0"/>
    <n v="63"/>
    <n v="74.58"/>
    <n v="62000"/>
    <n v="5642000"/>
  </r>
  <r>
    <x v="1"/>
    <s v="2019-04"/>
    <s v="2019"/>
    <s v="04"/>
    <x v="0"/>
    <s v="British Airways"/>
    <s v="UK"/>
    <x v="2"/>
    <x v="0"/>
    <n v="290"/>
    <n v="3575.99"/>
    <n v="413.78"/>
    <n v="0.1157"/>
    <n v="353.66"/>
    <n v="9.8900000000000002E-2"/>
    <n v="3.04"/>
    <n v="9.1999999999999998E-2"/>
    <n v="0"/>
    <n v="64.790000000000006"/>
    <n v="73.34"/>
    <n v="62000"/>
    <n v="5642000"/>
  </r>
  <r>
    <x v="2"/>
    <s v="2019-07"/>
    <s v="2019"/>
    <s v="07"/>
    <x v="0"/>
    <s v="British Airways"/>
    <s v="UK"/>
    <x v="2"/>
    <x v="0"/>
    <n v="290"/>
    <n v="3485.17"/>
    <n v="401.2"/>
    <n v="0.11509999999999999"/>
    <n v="419.2"/>
    <n v="0.12029999999999999"/>
    <n v="2.61"/>
    <n v="0.58899999999999997"/>
    <n v="0"/>
    <n v="60.46"/>
    <n v="71.11"/>
    <n v="62000"/>
    <n v="5642000"/>
  </r>
  <r>
    <x v="3"/>
    <s v="2019-10"/>
    <s v="2019"/>
    <s v="10"/>
    <x v="0"/>
    <s v="British Airways"/>
    <s v="UK"/>
    <x v="2"/>
    <x v="0"/>
    <n v="290"/>
    <n v="3622.08"/>
    <n v="434.26"/>
    <n v="0.11990000000000001"/>
    <n v="174.54"/>
    <n v="4.82E-2"/>
    <n v="2.6"/>
    <n v="0.496"/>
    <n v="0"/>
    <n v="65.66"/>
    <n v="76.97"/>
    <n v="62000"/>
    <n v="5642000"/>
  </r>
  <r>
    <x v="4"/>
    <s v="2020-01"/>
    <s v="2020"/>
    <s v="01"/>
    <x v="0"/>
    <s v="British Airways"/>
    <s v="UK"/>
    <x v="2"/>
    <x v="0"/>
    <n v="290"/>
    <n v="3767.71"/>
    <n v="425.29"/>
    <n v="0.11289999999999999"/>
    <n v="241.08"/>
    <n v="6.4000000000000001E-2"/>
    <n v="2.83"/>
    <n v="0.62"/>
    <n v="0"/>
    <n v="66.66"/>
    <n v="75.38"/>
    <n v="62000"/>
    <n v="5642000"/>
  </r>
  <r>
    <x v="5"/>
    <s v="2020-04"/>
    <s v="2020"/>
    <s v="04"/>
    <x v="1"/>
    <s v="British Airways"/>
    <s v="UK"/>
    <x v="2"/>
    <x v="0"/>
    <n v="290"/>
    <n v="998.39"/>
    <n v="133.66"/>
    <n v="0.13390000000000002"/>
    <n v="-407.44"/>
    <n v="-0.40810000000000002"/>
    <n v="0.78"/>
    <n v="0.59200000000000008"/>
    <n v="0"/>
    <n v="20.57"/>
    <n v="23.69"/>
    <n v="62000"/>
    <n v="5642000"/>
  </r>
  <r>
    <x v="6"/>
    <s v="2020-07"/>
    <s v="2020"/>
    <s v="07"/>
    <x v="1"/>
    <s v="British Airways"/>
    <s v="UK"/>
    <x v="2"/>
    <x v="0"/>
    <n v="290"/>
    <n v="973.53"/>
    <n v="284.52999999999997"/>
    <n v="0.2923"/>
    <n v="-338.92"/>
    <n v="-0.34810000000000002"/>
    <n v="0.72"/>
    <n v="0.47200000000000003"/>
    <n v="0"/>
    <n v="44.05"/>
    <n v="50.43"/>
    <n v="62000"/>
    <n v="5642000"/>
  </r>
  <r>
    <x v="7"/>
    <s v="2020-10"/>
    <s v="2020"/>
    <s v="10"/>
    <x v="1"/>
    <s v="British Airways"/>
    <s v="UK"/>
    <x v="2"/>
    <x v="0"/>
    <n v="290"/>
    <n v="728.72"/>
    <n v="257.61"/>
    <n v="0.35350000000000004"/>
    <n v="-224.83"/>
    <n v="-0.3085"/>
    <n v="0.59"/>
    <n v="0.36099999999999999"/>
    <n v="0"/>
    <n v="39.950000000000003"/>
    <n v="45.66"/>
    <n v="62000"/>
    <n v="5642000"/>
  </r>
  <r>
    <x v="8"/>
    <s v="2021-01"/>
    <s v="2021"/>
    <s v="01"/>
    <x v="1"/>
    <s v="British Airways"/>
    <s v="UK"/>
    <x v="2"/>
    <x v="0"/>
    <n v="290"/>
    <n v="707.51"/>
    <n v="483.91"/>
    <n v="0.68400000000000005"/>
    <n v="-193.1"/>
    <n v="-0.27289999999999998"/>
    <n v="0.56999999999999995"/>
    <n v="0.26200000000000001"/>
    <n v="0"/>
    <n v="75.489999999999995"/>
    <n v="85.77"/>
    <n v="62000"/>
    <n v="5642000"/>
  </r>
  <r>
    <x v="9"/>
    <s v="2021-04"/>
    <s v="2021"/>
    <s v="04"/>
    <x v="1"/>
    <s v="British Airways"/>
    <s v="UK"/>
    <x v="2"/>
    <x v="0"/>
    <n v="290"/>
    <n v="569.51"/>
    <n v="512.97"/>
    <n v="0.90069999999999995"/>
    <n v="-209.12"/>
    <n v="-0.36719999999999997"/>
    <n v="0.44"/>
    <n v="0.51400000000000001"/>
    <n v="2.7"/>
    <n v="76.83"/>
    <n v="90.92"/>
    <n v="62000"/>
    <n v="5642000"/>
  </r>
  <r>
    <x v="10"/>
    <s v="2021-07"/>
    <s v="2021"/>
    <s v="07"/>
    <x v="2"/>
    <s v="British Airways"/>
    <s v="UK"/>
    <x v="2"/>
    <x v="0"/>
    <n v="290"/>
    <n v="2672.05"/>
    <n v="507.33"/>
    <n v="0.18989999999999999"/>
    <n v="190.18"/>
    <n v="7.1199999999999999E-2"/>
    <n v="2.2200000000000002"/>
    <n v="0.35"/>
    <n v="0"/>
    <n v="78.97"/>
    <n v="89.92"/>
    <n v="62000"/>
    <n v="5642000"/>
  </r>
  <r>
    <x v="11"/>
    <s v="2021-10"/>
    <s v="2021"/>
    <s v="10"/>
    <x v="2"/>
    <s v="British Airways"/>
    <s v="UK"/>
    <x v="2"/>
    <x v="0"/>
    <n v="290"/>
    <n v="2427.41"/>
    <n v="588.17999999999995"/>
    <n v="0.24230000000000002"/>
    <n v="-51.62"/>
    <n v="-2.1299999999999999E-2"/>
    <n v="1.79"/>
    <n v="0.28800000000000003"/>
    <n v="26.82"/>
    <n v="86.82"/>
    <n v="104.25"/>
    <n v="62000"/>
    <n v="5642000"/>
  </r>
  <r>
    <x v="12"/>
    <s v="2022-01"/>
    <s v="2022"/>
    <s v="01"/>
    <x v="2"/>
    <s v="British Airways"/>
    <s v="UK"/>
    <x v="2"/>
    <x v="0"/>
    <n v="290"/>
    <n v="2820.49"/>
    <n v="459.48"/>
    <n v="0.16289999999999999"/>
    <n v="137.38999999999999"/>
    <n v="4.87E-2"/>
    <n v="2.0499999999999998"/>
    <n v="0.32200000000000001"/>
    <n v="0"/>
    <n v="72.010000000000005"/>
    <n v="81.44"/>
    <n v="62000"/>
    <n v="5642000"/>
  </r>
  <r>
    <x v="13"/>
    <s v="2022-04"/>
    <s v="2022"/>
    <s v="04"/>
    <x v="3"/>
    <s v="British Airways"/>
    <s v="UK"/>
    <x v="2"/>
    <x v="0"/>
    <n v="290"/>
    <n v="3536.82"/>
    <n v="742.66"/>
    <n v="0.21"/>
    <n v="194.92"/>
    <n v="5.5099999999999996E-2"/>
    <n v="2.69"/>
    <n v="0.309"/>
    <n v="106.15"/>
    <n v="109.53"/>
    <n v="131.63"/>
    <n v="62000"/>
    <n v="5642000"/>
  </r>
  <r>
    <x v="14"/>
    <s v="2022-07"/>
    <s v="2022"/>
    <s v="07"/>
    <x v="3"/>
    <s v="British Airways"/>
    <s v="UK"/>
    <x v="2"/>
    <x v="0"/>
    <n v="290"/>
    <n v="3561.79"/>
    <n v="533.11"/>
    <n v="0.1497"/>
    <n v="242.12"/>
    <n v="6.8000000000000005E-2"/>
    <n v="2.75"/>
    <n v="0.61399999999999999"/>
    <n v="16.329999999999998"/>
    <n v="80.69"/>
    <n v="94.49"/>
    <n v="62000"/>
    <n v="5642000"/>
  </r>
  <r>
    <x v="15"/>
    <s v="2022-10"/>
    <s v="2022"/>
    <s v="10"/>
    <x v="3"/>
    <s v="British Airways"/>
    <s v="UK"/>
    <x v="2"/>
    <x v="0"/>
    <n v="290"/>
    <n v="3435.58"/>
    <n v="595.57000000000005"/>
    <n v="0.1734"/>
    <n v="314.70999999999998"/>
    <n v="9.1600000000000001E-2"/>
    <n v="2.89"/>
    <n v="0.30199999999999999"/>
    <n v="31.1"/>
    <n v="93.25"/>
    <n v="105.56"/>
    <n v="62000"/>
    <n v="5642000"/>
  </r>
  <r>
    <x v="16"/>
    <s v="2023-01"/>
    <s v="2023"/>
    <s v="01"/>
    <x v="4"/>
    <s v="British Airways"/>
    <s v="UK"/>
    <x v="2"/>
    <x v="0"/>
    <n v="290"/>
    <n v="3601.55"/>
    <n v="548.01"/>
    <n v="0.1522"/>
    <n v="457.35"/>
    <n v="0.127"/>
    <n v="2.85"/>
    <n v="0.442"/>
    <n v="19.190000000000001"/>
    <n v="84.29"/>
    <n v="97.13"/>
    <n v="62000"/>
    <n v="5642000"/>
  </r>
  <r>
    <x v="17"/>
    <s v="2023-04"/>
    <s v="2023"/>
    <s v="04"/>
    <x v="4"/>
    <s v="British Airways"/>
    <s v="UK"/>
    <x v="2"/>
    <x v="0"/>
    <n v="290"/>
    <n v="3745.99"/>
    <n v="575.30999999999995"/>
    <n v="0.15359999999999999"/>
    <n v="489.93"/>
    <n v="0.1308"/>
    <n v="2.8"/>
    <n v="0.63400000000000001"/>
    <n v="48.51"/>
    <n v="88.18"/>
    <n v="101.97"/>
    <n v="62000"/>
    <n v="5642000"/>
  </r>
  <r>
    <x v="18"/>
    <s v="2023-07"/>
    <s v="2023"/>
    <s v="07"/>
    <x v="4"/>
    <s v="British Airways"/>
    <s v="UK"/>
    <x v="2"/>
    <x v="0"/>
    <n v="290"/>
    <n v="3818"/>
    <n v="550.21"/>
    <n v="0.14410000000000001"/>
    <n v="266.25"/>
    <n v="6.9699999999999998E-2"/>
    <n v="3.09"/>
    <n v="0.03"/>
    <n v="1.38"/>
    <n v="85.16"/>
    <n v="97.52"/>
    <n v="62000"/>
    <n v="5642000"/>
  </r>
  <r>
    <x v="19"/>
    <s v="2023-10"/>
    <s v="2023"/>
    <s v="10"/>
    <x v="5"/>
    <s v="British Airways"/>
    <s v="UK"/>
    <x v="2"/>
    <x v="0"/>
    <n v="290"/>
    <n v="3449.95"/>
    <n v="507.55"/>
    <n v="0.14710000000000001"/>
    <n v="339.41"/>
    <n v="9.8400000000000001E-2"/>
    <n v="2.82"/>
    <n v="0.34700000000000003"/>
    <n v="0"/>
    <n v="78.33"/>
    <n v="89.96"/>
    <n v="62000"/>
    <n v="5642000"/>
  </r>
  <r>
    <x v="20"/>
    <s v="2024-01"/>
    <s v="2024"/>
    <s v="01"/>
    <x v="5"/>
    <s v="British Airways"/>
    <s v="UK"/>
    <x v="2"/>
    <x v="0"/>
    <n v="290"/>
    <n v="3697.73"/>
    <n v="558.66999999999996"/>
    <n v="0.15109999999999998"/>
    <n v="441.1"/>
    <n v="0.1193"/>
    <n v="2.74"/>
    <n v="0.42899999999999999"/>
    <n v="24.02"/>
    <n v="84.61"/>
    <n v="99.02"/>
    <n v="62000"/>
    <n v="5642000"/>
  </r>
  <r>
    <x v="21"/>
    <s v="2024-04"/>
    <s v="2024"/>
    <s v="04"/>
    <x v="5"/>
    <s v="British Airways"/>
    <s v="UK"/>
    <x v="2"/>
    <x v="0"/>
    <n v="290"/>
    <n v="3632.14"/>
    <n v="574.24"/>
    <n v="0.15810000000000002"/>
    <n v="187.99"/>
    <n v="5.1799999999999999E-2"/>
    <n v="2.72"/>
    <n v="0.27300000000000002"/>
    <n v="20.52"/>
    <n v="84.06"/>
    <n v="101.78"/>
    <n v="62000"/>
    <n v="5642000"/>
  </r>
  <r>
    <x v="22"/>
    <s v="2024-07"/>
    <s v="2024"/>
    <s v="07"/>
    <x v="5"/>
    <s v="British Airways"/>
    <s v="UK"/>
    <x v="2"/>
    <x v="0"/>
    <n v="290"/>
    <n v="3771.12"/>
    <n v="530.24"/>
    <n v="0.1406"/>
    <n v="232.69"/>
    <n v="6.1699999999999998E-2"/>
    <n v="2.8"/>
    <n v="0.46899999999999997"/>
    <n v="11"/>
    <n v="80.400000000000006"/>
    <n v="93.98"/>
    <n v="62000"/>
    <n v="5642000"/>
  </r>
  <r>
    <x v="23"/>
    <s v="2024-10"/>
    <s v="2024"/>
    <s v="10"/>
    <x v="5"/>
    <s v="British Airways"/>
    <s v="UK"/>
    <x v="2"/>
    <x v="0"/>
    <n v="290"/>
    <n v="3822.83"/>
    <n v="634.84"/>
    <n v="0.1661"/>
    <n v="323.92"/>
    <n v="8.4700000000000011E-2"/>
    <n v="2.94"/>
    <n v="0.16500000000000001"/>
    <n v="26.21"/>
    <n v="94.78"/>
    <n v="112.52"/>
    <n v="62000"/>
    <n v="5642000"/>
  </r>
  <r>
    <x v="24"/>
    <s v="2025-01"/>
    <s v="2025"/>
    <s v="01"/>
    <x v="6"/>
    <s v="British Airways"/>
    <s v="UK"/>
    <x v="2"/>
    <x v="0"/>
    <n v="290"/>
    <n v="3395.46"/>
    <n v="572.89"/>
    <n v="0.16870000000000002"/>
    <n v="196.4"/>
    <n v="5.7800000000000004E-2"/>
    <n v="2.4700000000000002"/>
    <n v="0.32100000000000001"/>
    <n v="23.58"/>
    <n v="85.13"/>
    <n v="101.54"/>
    <n v="62000"/>
    <n v="5642000"/>
  </r>
  <r>
    <x v="25"/>
    <s v="2025-04"/>
    <s v="2025"/>
    <s v="04"/>
    <x v="6"/>
    <s v="British Airways"/>
    <s v="UK"/>
    <x v="2"/>
    <x v="0"/>
    <n v="290"/>
    <n v="3823.94"/>
    <n v="679.47"/>
    <n v="0.1777"/>
    <n v="454.06"/>
    <n v="0.11869999999999999"/>
    <n v="3.09"/>
    <n v="0.316"/>
    <n v="72.599999999999994"/>
    <n v="101.77"/>
    <n v="120.43"/>
    <n v="62000"/>
    <n v="5642000"/>
  </r>
  <r>
    <x v="26"/>
    <s v="2025-07"/>
    <s v="2025"/>
    <s v="07"/>
    <x v="6"/>
    <s v="British Airways"/>
    <s v="UK"/>
    <x v="2"/>
    <x v="0"/>
    <n v="290"/>
    <n v="3657.33"/>
    <n v="633.15"/>
    <n v="0.17309999999999998"/>
    <n v="283.82"/>
    <n v="7.7600000000000002E-2"/>
    <n v="2.71"/>
    <n v="0.38299999999999995"/>
    <n v="59.87"/>
    <n v="93.24"/>
    <n v="112.22"/>
    <n v="62000"/>
    <n v="5642000"/>
  </r>
  <r>
    <x v="27"/>
    <s v="2025-10"/>
    <s v="2025"/>
    <s v="10"/>
    <x v="6"/>
    <s v="British Airways"/>
    <s v="UK"/>
    <x v="2"/>
    <x v="0"/>
    <n v="290"/>
    <n v="3616.22"/>
    <n v="630.04"/>
    <n v="0.17420000000000002"/>
    <n v="486.21"/>
    <n v="0.13449999999999998"/>
    <n v="2.95"/>
    <n v="0.503"/>
    <n v="76.31"/>
    <n v="99.34"/>
    <n v="111.67"/>
    <n v="62000"/>
    <n v="5642000"/>
  </r>
  <r>
    <x v="28"/>
    <s v="2026-01"/>
    <s v="2026"/>
    <s v="01"/>
    <x v="7"/>
    <s v="British Airways"/>
    <s v="UK"/>
    <x v="2"/>
    <x v="0"/>
    <n v="290"/>
    <n v="2550.8200000000002"/>
    <n v="828.25"/>
    <n v="0.32469999999999999"/>
    <n v="-249.5"/>
    <n v="-9.7799999999999998E-2"/>
    <n v="2.2200000000000002"/>
    <n v="0.42700000000000005"/>
    <n v="223.2"/>
    <n v="130.88"/>
    <n v="146.80000000000001"/>
    <n v="62000"/>
    <n v="5642000"/>
  </r>
  <r>
    <x v="0"/>
    <s v="2019-01"/>
    <s v="2019"/>
    <s v="01"/>
    <x v="0"/>
    <s v="Air France"/>
    <s v="France"/>
    <x v="2"/>
    <x v="0"/>
    <n v="550"/>
    <n v="7848.53"/>
    <n v="542.94000000000005"/>
    <n v="6.9199999999999998E-2"/>
    <n v="1082.72"/>
    <n v="0.13800000000000001"/>
    <n v="5.46"/>
    <n v="0.53600000000000003"/>
    <n v="0"/>
    <n v="63"/>
    <n v="74.58"/>
    <n v="80000"/>
    <n v="7280000"/>
  </r>
  <r>
    <x v="1"/>
    <s v="2019-04"/>
    <s v="2019"/>
    <s v="04"/>
    <x v="0"/>
    <s v="Air France"/>
    <s v="France"/>
    <x v="2"/>
    <x v="0"/>
    <n v="550"/>
    <n v="7514.7"/>
    <n v="533.91999999999996"/>
    <n v="7.0999999999999994E-2"/>
    <n v="620.65"/>
    <n v="8.2599999999999993E-2"/>
    <n v="5.51"/>
    <n v="0.16699999999999998"/>
    <n v="0"/>
    <n v="64.790000000000006"/>
    <n v="73.34"/>
    <n v="80000"/>
    <n v="7280000"/>
  </r>
  <r>
    <x v="2"/>
    <s v="2019-07"/>
    <s v="2019"/>
    <s v="07"/>
    <x v="0"/>
    <s v="Air France"/>
    <s v="France"/>
    <x v="2"/>
    <x v="0"/>
    <n v="550"/>
    <n v="8092.96"/>
    <n v="517.67999999999995"/>
    <n v="6.4000000000000001E-2"/>
    <n v="590.16"/>
    <n v="7.2900000000000006E-2"/>
    <n v="5.32"/>
    <n v="0.21"/>
    <n v="0"/>
    <n v="60.46"/>
    <n v="71.11"/>
    <n v="80000"/>
    <n v="7280000"/>
  </r>
  <r>
    <x v="3"/>
    <s v="2019-10"/>
    <s v="2019"/>
    <s v="10"/>
    <x v="0"/>
    <s v="Air France"/>
    <s v="France"/>
    <x v="2"/>
    <x v="0"/>
    <n v="550"/>
    <n v="7959.57"/>
    <n v="560.34"/>
    <n v="7.0400000000000004E-2"/>
    <n v="568.26"/>
    <n v="7.1399999999999991E-2"/>
    <n v="5.79"/>
    <n v="0.60799999999999998"/>
    <n v="0"/>
    <n v="65.66"/>
    <n v="76.97"/>
    <n v="80000"/>
    <n v="7280000"/>
  </r>
  <r>
    <x v="4"/>
    <s v="2020-01"/>
    <s v="2020"/>
    <s v="01"/>
    <x v="0"/>
    <s v="Air France"/>
    <s v="France"/>
    <x v="2"/>
    <x v="0"/>
    <n v="550"/>
    <n v="7378.47"/>
    <n v="548.77"/>
    <n v="7.4400000000000008E-2"/>
    <n v="392.07"/>
    <n v="5.3099999999999994E-2"/>
    <n v="4.83"/>
    <n v="0.28600000000000003"/>
    <n v="0"/>
    <n v="66.66"/>
    <n v="75.38"/>
    <n v="80000"/>
    <n v="7280000"/>
  </r>
  <r>
    <x v="5"/>
    <s v="2020-04"/>
    <s v="2020"/>
    <s v="04"/>
    <x v="1"/>
    <s v="Air France"/>
    <s v="France"/>
    <x v="2"/>
    <x v="0"/>
    <n v="550"/>
    <n v="1281.43"/>
    <n v="172.46"/>
    <n v="0.1346"/>
    <n v="-431.26"/>
    <n v="-0.33649999999999997"/>
    <n v="0.98"/>
    <n v="0.505"/>
    <n v="0"/>
    <n v="20.57"/>
    <n v="23.69"/>
    <n v="80000"/>
    <n v="7280000"/>
  </r>
  <r>
    <x v="6"/>
    <s v="2020-07"/>
    <s v="2020"/>
    <s v="07"/>
    <x v="1"/>
    <s v="Air France"/>
    <s v="France"/>
    <x v="2"/>
    <x v="0"/>
    <n v="550"/>
    <n v="1997.55"/>
    <n v="367.13"/>
    <n v="0.18379999999999999"/>
    <n v="-474.21"/>
    <n v="-0.23739999999999997"/>
    <n v="1.31"/>
    <n v="0.39600000000000002"/>
    <n v="0"/>
    <n v="44.05"/>
    <n v="50.43"/>
    <n v="80000"/>
    <n v="7280000"/>
  </r>
  <r>
    <x v="7"/>
    <s v="2020-10"/>
    <s v="2020"/>
    <s v="10"/>
    <x v="1"/>
    <s v="Air France"/>
    <s v="France"/>
    <x v="2"/>
    <x v="0"/>
    <n v="550"/>
    <n v="1298.46"/>
    <n v="332.4"/>
    <n v="0.25600000000000001"/>
    <n v="-427.8"/>
    <n v="-0.32950000000000002"/>
    <n v="0.92"/>
    <n v="0.17199999999999999"/>
    <n v="0"/>
    <n v="39.950000000000003"/>
    <n v="45.66"/>
    <n v="80000"/>
    <n v="7280000"/>
  </r>
  <r>
    <x v="8"/>
    <s v="2021-01"/>
    <s v="2021"/>
    <s v="01"/>
    <x v="1"/>
    <s v="Air France"/>
    <s v="France"/>
    <x v="2"/>
    <x v="0"/>
    <n v="550"/>
    <n v="2369.7800000000002"/>
    <n v="624.41"/>
    <n v="0.26350000000000001"/>
    <n v="-931.19"/>
    <n v="-0.39289999999999997"/>
    <n v="1.7"/>
    <n v="0.313"/>
    <n v="0"/>
    <n v="75.489999999999995"/>
    <n v="85.77"/>
    <n v="80000"/>
    <n v="7280000"/>
  </r>
  <r>
    <x v="9"/>
    <s v="2021-04"/>
    <s v="2021"/>
    <s v="04"/>
    <x v="1"/>
    <s v="Air France"/>
    <s v="France"/>
    <x v="2"/>
    <x v="0"/>
    <n v="550"/>
    <n v="1772.48"/>
    <n v="661.9"/>
    <n v="0.37340000000000001"/>
    <n v="-782.75"/>
    <n v="-0.44159999999999999"/>
    <n v="1.31"/>
    <n v="8.0000000000000002E-3"/>
    <n v="0.05"/>
    <n v="76.83"/>
    <n v="90.92"/>
    <n v="80000"/>
    <n v="7280000"/>
  </r>
  <r>
    <x v="10"/>
    <s v="2021-07"/>
    <s v="2021"/>
    <s v="07"/>
    <x v="2"/>
    <s v="Air France"/>
    <s v="France"/>
    <x v="2"/>
    <x v="0"/>
    <n v="550"/>
    <n v="6105.82"/>
    <n v="654.62"/>
    <n v="0.1072"/>
    <n v="-93.84"/>
    <n v="-1.54E-2"/>
    <n v="4.01"/>
    <n v="0.27100000000000002"/>
    <n v="0"/>
    <n v="78.97"/>
    <n v="89.92"/>
    <n v="80000"/>
    <n v="7280000"/>
  </r>
  <r>
    <x v="11"/>
    <s v="2021-10"/>
    <s v="2021"/>
    <s v="10"/>
    <x v="2"/>
    <s v="Air France"/>
    <s v="France"/>
    <x v="2"/>
    <x v="0"/>
    <n v="550"/>
    <n v="5714.04"/>
    <n v="758.94"/>
    <n v="0.1328"/>
    <n v="-55.16"/>
    <n v="-9.7000000000000003E-3"/>
    <n v="3.76"/>
    <n v="1.2E-2"/>
    <n v="1.44"/>
    <n v="86.82"/>
    <n v="104.25"/>
    <n v="80000"/>
    <n v="7280000"/>
  </r>
  <r>
    <x v="12"/>
    <s v="2022-01"/>
    <s v="2022"/>
    <s v="01"/>
    <x v="2"/>
    <s v="Air France"/>
    <s v="France"/>
    <x v="2"/>
    <x v="0"/>
    <n v="550"/>
    <n v="5930.72"/>
    <n v="592.88"/>
    <n v="0.1"/>
    <n v="386.9"/>
    <n v="6.5199999999999994E-2"/>
    <n v="3.88"/>
    <n v="0.15"/>
    <n v="0"/>
    <n v="72.010000000000005"/>
    <n v="81.44"/>
    <n v="80000"/>
    <n v="7280000"/>
  </r>
  <r>
    <x v="13"/>
    <s v="2022-04"/>
    <s v="2022"/>
    <s v="04"/>
    <x v="3"/>
    <s v="Air France"/>
    <s v="France"/>
    <x v="2"/>
    <x v="0"/>
    <n v="550"/>
    <n v="6780.34"/>
    <n v="958.27"/>
    <n v="0.14130000000000001"/>
    <n v="615.69000000000005"/>
    <n v="9.0800000000000006E-2"/>
    <n v="4.7699999999999996"/>
    <n v="0.60099999999999998"/>
    <n v="266.39"/>
    <n v="109.53"/>
    <n v="131.63"/>
    <n v="80000"/>
    <n v="7280000"/>
  </r>
  <r>
    <x v="14"/>
    <s v="2022-07"/>
    <s v="2022"/>
    <s v="07"/>
    <x v="3"/>
    <s v="Air France"/>
    <s v="France"/>
    <x v="2"/>
    <x v="0"/>
    <n v="550"/>
    <n v="7452.15"/>
    <n v="687.89"/>
    <n v="9.2300000000000007E-2"/>
    <n v="663.05"/>
    <n v="8.900000000000001E-2"/>
    <n v="5.78"/>
    <n v="0.218"/>
    <n v="7.48"/>
    <n v="80.69"/>
    <n v="94.49"/>
    <n v="80000"/>
    <n v="7280000"/>
  </r>
  <r>
    <x v="15"/>
    <s v="2022-10"/>
    <s v="2022"/>
    <s v="10"/>
    <x v="3"/>
    <s v="Air France"/>
    <s v="France"/>
    <x v="2"/>
    <x v="0"/>
    <n v="550"/>
    <n v="7711.07"/>
    <n v="768.48"/>
    <n v="9.9700000000000011E-2"/>
    <n v="565.33000000000004"/>
    <n v="7.3300000000000004E-2"/>
    <n v="4.96"/>
    <n v="0.28499999999999998"/>
    <n v="37.869999999999997"/>
    <n v="93.25"/>
    <n v="105.56"/>
    <n v="80000"/>
    <n v="7280000"/>
  </r>
  <r>
    <x v="16"/>
    <s v="2023-01"/>
    <s v="2023"/>
    <s v="01"/>
    <x v="4"/>
    <s v="Air France"/>
    <s v="France"/>
    <x v="2"/>
    <x v="0"/>
    <n v="550"/>
    <n v="7958.94"/>
    <n v="707.11"/>
    <n v="8.8800000000000004E-2"/>
    <n v="1071.5"/>
    <n v="0.1346"/>
    <n v="6.11"/>
    <n v="0.63200000000000001"/>
    <n v="35.4"/>
    <n v="84.29"/>
    <n v="97.13"/>
    <n v="80000"/>
    <n v="7280000"/>
  </r>
  <r>
    <x v="17"/>
    <s v="2023-04"/>
    <s v="2023"/>
    <s v="04"/>
    <x v="4"/>
    <s v="Air France"/>
    <s v="France"/>
    <x v="2"/>
    <x v="0"/>
    <n v="550"/>
    <n v="7761.72"/>
    <n v="742.34"/>
    <n v="9.5600000000000004E-2"/>
    <n v="491.16"/>
    <n v="6.3299999999999995E-2"/>
    <n v="5.6"/>
    <n v="0.27399999999999997"/>
    <n v="27.05"/>
    <n v="88.18"/>
    <n v="101.97"/>
    <n v="80000"/>
    <n v="7280000"/>
  </r>
  <r>
    <x v="18"/>
    <s v="2023-07"/>
    <s v="2023"/>
    <s v="07"/>
    <x v="4"/>
    <s v="Air France"/>
    <s v="France"/>
    <x v="2"/>
    <x v="0"/>
    <n v="550"/>
    <n v="7377.19"/>
    <n v="709.95"/>
    <n v="9.6199999999999994E-2"/>
    <n v="865.19"/>
    <n v="0.1173"/>
    <n v="5.38"/>
    <n v="0.51400000000000001"/>
    <n v="30.49"/>
    <n v="85.16"/>
    <n v="97.52"/>
    <n v="80000"/>
    <n v="7280000"/>
  </r>
  <r>
    <x v="19"/>
    <s v="2023-10"/>
    <s v="2023"/>
    <s v="10"/>
    <x v="5"/>
    <s v="Air France"/>
    <s v="France"/>
    <x v="2"/>
    <x v="0"/>
    <n v="550"/>
    <n v="7387.75"/>
    <n v="654.91"/>
    <n v="8.8599999999999998E-2"/>
    <n v="963.28"/>
    <n v="0.13039999999999999"/>
    <n v="4.9800000000000004"/>
    <n v="0.39100000000000001"/>
    <n v="0"/>
    <n v="78.33"/>
    <n v="89.96"/>
    <n v="80000"/>
    <n v="7280000"/>
  </r>
  <r>
    <x v="20"/>
    <s v="2024-01"/>
    <s v="2024"/>
    <s v="01"/>
    <x v="5"/>
    <s v="Air France"/>
    <s v="France"/>
    <x v="2"/>
    <x v="0"/>
    <n v="550"/>
    <n v="7180.47"/>
    <n v="720.87"/>
    <n v="0.10039999999999999"/>
    <n v="675.66"/>
    <n v="9.4100000000000003E-2"/>
    <n v="4.7"/>
    <n v="0.21600000000000003"/>
    <n v="15.61"/>
    <n v="84.61"/>
    <n v="99.02"/>
    <n v="80000"/>
    <n v="7280000"/>
  </r>
  <r>
    <x v="21"/>
    <s v="2024-04"/>
    <s v="2024"/>
    <s v="04"/>
    <x v="5"/>
    <s v="Air France"/>
    <s v="France"/>
    <x v="2"/>
    <x v="0"/>
    <n v="550"/>
    <n v="7964.17"/>
    <n v="740.96"/>
    <n v="9.3000000000000013E-2"/>
    <n v="1030.19"/>
    <n v="0.12939999999999999"/>
    <n v="5.97"/>
    <n v="0.23899999999999999"/>
    <n v="23.18"/>
    <n v="84.06"/>
    <n v="101.78"/>
    <n v="80000"/>
    <n v="7280000"/>
  </r>
  <r>
    <x v="22"/>
    <s v="2024-07"/>
    <s v="2024"/>
    <s v="07"/>
    <x v="5"/>
    <s v="Air France"/>
    <s v="France"/>
    <x v="2"/>
    <x v="0"/>
    <n v="550"/>
    <n v="7689.25"/>
    <n v="684.17"/>
    <n v="8.900000000000001E-2"/>
    <n v="479.79"/>
    <n v="6.2400000000000004E-2"/>
    <n v="5.67"/>
    <n v="0.22600000000000001"/>
    <n v="6.84"/>
    <n v="80.400000000000006"/>
    <n v="93.98"/>
    <n v="80000"/>
    <n v="7280000"/>
  </r>
  <r>
    <x v="23"/>
    <s v="2024-10"/>
    <s v="2024"/>
    <s v="10"/>
    <x v="5"/>
    <s v="Air France"/>
    <s v="France"/>
    <x v="2"/>
    <x v="0"/>
    <n v="550"/>
    <n v="7340.47"/>
    <n v="819.15"/>
    <n v="0.1116"/>
    <n v="723.01"/>
    <n v="9.849999999999999E-2"/>
    <n v="4.82"/>
    <n v="0.44600000000000001"/>
    <n v="91.42"/>
    <n v="94.78"/>
    <n v="112.52"/>
    <n v="80000"/>
    <n v="7280000"/>
  </r>
  <r>
    <x v="24"/>
    <s v="2025-01"/>
    <s v="2025"/>
    <s v="01"/>
    <x v="6"/>
    <s v="Air France"/>
    <s v="France"/>
    <x v="2"/>
    <x v="0"/>
    <n v="550"/>
    <n v="7307.33"/>
    <n v="739.21"/>
    <n v="0.1012"/>
    <n v="696.72"/>
    <n v="9.5299999999999996E-2"/>
    <n v="5.09"/>
    <n v="0.36799999999999999"/>
    <n v="34.880000000000003"/>
    <n v="85.13"/>
    <n v="101.54"/>
    <n v="80000"/>
    <n v="7280000"/>
  </r>
  <r>
    <x v="25"/>
    <s v="2025-04"/>
    <s v="2025"/>
    <s v="04"/>
    <x v="6"/>
    <s v="Air France"/>
    <s v="France"/>
    <x v="2"/>
    <x v="0"/>
    <n v="550"/>
    <n v="7364.81"/>
    <n v="876.73"/>
    <n v="0.11900000000000001"/>
    <n v="523.19000000000005"/>
    <n v="7.0999999999999994E-2"/>
    <n v="4.8600000000000003"/>
    <n v="0.505"/>
    <n v="149.69999999999999"/>
    <n v="101.77"/>
    <n v="120.43"/>
    <n v="80000"/>
    <n v="7280000"/>
  </r>
  <r>
    <x v="26"/>
    <s v="2025-07"/>
    <s v="2025"/>
    <s v="07"/>
    <x v="6"/>
    <s v="Air France"/>
    <s v="France"/>
    <x v="2"/>
    <x v="0"/>
    <n v="550"/>
    <n v="7193.36"/>
    <n v="816.96"/>
    <n v="0.11359999999999999"/>
    <n v="558.52"/>
    <n v="7.7600000000000002E-2"/>
    <n v="5.07"/>
    <n v="0.127"/>
    <n v="25.62"/>
    <n v="93.24"/>
    <n v="112.22"/>
    <n v="80000"/>
    <n v="7280000"/>
  </r>
  <r>
    <x v="27"/>
    <s v="2025-10"/>
    <s v="2025"/>
    <s v="10"/>
    <x v="6"/>
    <s v="Air France"/>
    <s v="France"/>
    <x v="2"/>
    <x v="0"/>
    <n v="550"/>
    <n v="7500.2"/>
    <n v="812.96"/>
    <n v="0.1084"/>
    <n v="613.58000000000004"/>
    <n v="8.1799999999999998E-2"/>
    <n v="5.04"/>
    <n v="0.41600000000000004"/>
    <n v="81.430000000000007"/>
    <n v="99.34"/>
    <n v="111.67"/>
    <n v="80000"/>
    <n v="7280000"/>
  </r>
  <r>
    <x v="28"/>
    <s v="2026-01"/>
    <s v="2026"/>
    <s v="01"/>
    <x v="7"/>
    <s v="Air France"/>
    <s v="France"/>
    <x v="2"/>
    <x v="0"/>
    <n v="550"/>
    <n v="5296.28"/>
    <n v="1068.7"/>
    <n v="0.20180000000000001"/>
    <n v="-1114.8"/>
    <n v="-0.21050000000000002"/>
    <n v="3.86"/>
    <n v="0.40799999999999997"/>
    <n v="275.18"/>
    <n v="130.88"/>
    <n v="146.80000000000001"/>
    <n v="80000"/>
    <n v="7280000"/>
  </r>
  <r>
    <x v="0"/>
    <s v="2019-01"/>
    <s v="2019"/>
    <s v="01"/>
    <x v="0"/>
    <s v="Turkish Airlines"/>
    <s v="Turkey"/>
    <x v="2"/>
    <x v="0"/>
    <n v="432"/>
    <n v="4627.08"/>
    <n v="475.07"/>
    <n v="0.1027"/>
    <n v="501.14"/>
    <n v="0.10830000000000001"/>
    <n v="4.0999999999999996"/>
    <n v="0.34299999999999997"/>
    <n v="0"/>
    <n v="63"/>
    <n v="74.58"/>
    <n v="70000"/>
    <n v="6370000"/>
  </r>
  <r>
    <x v="1"/>
    <s v="2019-04"/>
    <s v="2019"/>
    <s v="04"/>
    <x v="0"/>
    <s v="Turkish Airlines"/>
    <s v="Turkey"/>
    <x v="2"/>
    <x v="0"/>
    <n v="432"/>
    <n v="4668.22"/>
    <n v="467.18"/>
    <n v="0.10009999999999999"/>
    <n v="646.21"/>
    <n v="0.1384"/>
    <n v="4.3600000000000003"/>
    <n v="0.161"/>
    <n v="0"/>
    <n v="64.790000000000006"/>
    <n v="73.34"/>
    <n v="70000"/>
    <n v="6370000"/>
  </r>
  <r>
    <x v="2"/>
    <s v="2019-07"/>
    <s v="2019"/>
    <s v="07"/>
    <x v="0"/>
    <s v="Turkish Airlines"/>
    <s v="Turkey"/>
    <x v="2"/>
    <x v="0"/>
    <n v="432"/>
    <n v="4609.54"/>
    <n v="452.97"/>
    <n v="9.8299999999999998E-2"/>
    <n v="541.24"/>
    <n v="0.1174"/>
    <n v="4.0199999999999996"/>
    <n v="5.9000000000000004E-2"/>
    <n v="0"/>
    <n v="60.46"/>
    <n v="71.11"/>
    <n v="70000"/>
    <n v="6370000"/>
  </r>
  <r>
    <x v="3"/>
    <s v="2019-10"/>
    <s v="2019"/>
    <s v="10"/>
    <x v="0"/>
    <s v="Turkish Airlines"/>
    <s v="Turkey"/>
    <x v="2"/>
    <x v="0"/>
    <n v="432"/>
    <n v="4486.75"/>
    <n v="490.3"/>
    <n v="0.10929999999999999"/>
    <n v="365.2"/>
    <n v="8.14E-2"/>
    <n v="3.93"/>
    <n v="0.45899999999999996"/>
    <n v="0"/>
    <n v="65.66"/>
    <n v="76.97"/>
    <n v="70000"/>
    <n v="6370000"/>
  </r>
  <r>
    <x v="4"/>
    <s v="2020-01"/>
    <s v="2020"/>
    <s v="01"/>
    <x v="0"/>
    <s v="Turkish Airlines"/>
    <s v="Turkey"/>
    <x v="2"/>
    <x v="0"/>
    <n v="432"/>
    <n v="4816.1899999999996"/>
    <n v="480.17"/>
    <n v="9.9700000000000011E-2"/>
    <n v="563.54999999999995"/>
    <n v="0.11699999999999999"/>
    <n v="4.1399999999999997"/>
    <n v="0.40600000000000003"/>
    <n v="0"/>
    <n v="66.66"/>
    <n v="75.38"/>
    <n v="70000"/>
    <n v="6370000"/>
  </r>
  <r>
    <x v="5"/>
    <s v="2020-04"/>
    <s v="2020"/>
    <s v="04"/>
    <x v="1"/>
    <s v="Turkish Airlines"/>
    <s v="Turkey"/>
    <x v="2"/>
    <x v="0"/>
    <n v="432"/>
    <n v="1537.56"/>
    <n v="150.91"/>
    <n v="9.8100000000000007E-2"/>
    <n v="-665.27"/>
    <n v="-0.43270000000000003"/>
    <n v="1.43"/>
    <n v="0.46500000000000002"/>
    <n v="0"/>
    <n v="20.57"/>
    <n v="23.69"/>
    <n v="70000"/>
    <n v="6370000"/>
  </r>
  <r>
    <x v="6"/>
    <s v="2020-07"/>
    <s v="2020"/>
    <s v="07"/>
    <x v="1"/>
    <s v="Turkish Airlines"/>
    <s v="Turkey"/>
    <x v="2"/>
    <x v="0"/>
    <n v="432"/>
    <n v="1451.39"/>
    <n v="321.24"/>
    <n v="0.2213"/>
    <n v="-555.5"/>
    <n v="-0.38270000000000004"/>
    <n v="1.27"/>
    <n v="0.156"/>
    <n v="0"/>
    <n v="44.05"/>
    <n v="50.43"/>
    <n v="70000"/>
    <n v="6370000"/>
  </r>
  <r>
    <x v="7"/>
    <s v="2020-10"/>
    <s v="2020"/>
    <s v="10"/>
    <x v="1"/>
    <s v="Turkish Airlines"/>
    <s v="Turkey"/>
    <x v="2"/>
    <x v="0"/>
    <n v="432"/>
    <n v="995.07"/>
    <n v="290.85000000000002"/>
    <n v="0.2923"/>
    <n v="-206.85"/>
    <n v="-0.2079"/>
    <n v="0.88"/>
    <n v="0.55200000000000005"/>
    <n v="0"/>
    <n v="39.950000000000003"/>
    <n v="45.66"/>
    <n v="70000"/>
    <n v="6370000"/>
  </r>
  <r>
    <x v="8"/>
    <s v="2021-01"/>
    <s v="2021"/>
    <s v="01"/>
    <x v="1"/>
    <s v="Turkish Airlines"/>
    <s v="Turkey"/>
    <x v="2"/>
    <x v="0"/>
    <n v="432"/>
    <n v="1452.19"/>
    <n v="546.35"/>
    <n v="0.37619999999999998"/>
    <n v="-492.1"/>
    <n v="-0.33889999999999998"/>
    <n v="1.42"/>
    <n v="0.54700000000000004"/>
    <n v="0"/>
    <n v="75.489999999999995"/>
    <n v="85.77"/>
    <n v="70000"/>
    <n v="6370000"/>
  </r>
  <r>
    <x v="9"/>
    <s v="2021-04"/>
    <s v="2021"/>
    <s v="04"/>
    <x v="1"/>
    <s v="Turkish Airlines"/>
    <s v="Turkey"/>
    <x v="2"/>
    <x v="0"/>
    <n v="432"/>
    <n v="1158.73"/>
    <n v="579.16"/>
    <n v="0.49979999999999997"/>
    <n v="-431.71"/>
    <n v="-0.37259999999999999"/>
    <n v="0.95"/>
    <n v="0.30199999999999999"/>
    <n v="1.79"/>
    <n v="76.83"/>
    <n v="90.92"/>
    <n v="70000"/>
    <n v="6370000"/>
  </r>
  <r>
    <x v="10"/>
    <s v="2021-07"/>
    <s v="2021"/>
    <s v="07"/>
    <x v="2"/>
    <s v="Turkish Airlines"/>
    <s v="Turkey"/>
    <x v="2"/>
    <x v="0"/>
    <n v="432"/>
    <n v="3393.41"/>
    <n v="572.79"/>
    <n v="0.16879999999999998"/>
    <n v="144.15"/>
    <n v="4.2500000000000003E-2"/>
    <n v="2.74"/>
    <n v="0.54"/>
    <n v="0"/>
    <n v="78.97"/>
    <n v="89.92"/>
    <n v="70000"/>
    <n v="6370000"/>
  </r>
  <r>
    <x v="11"/>
    <s v="2021-10"/>
    <s v="2021"/>
    <s v="10"/>
    <x v="2"/>
    <s v="Turkish Airlines"/>
    <s v="Turkey"/>
    <x v="2"/>
    <x v="0"/>
    <n v="432"/>
    <n v="3446.63"/>
    <n v="664.07"/>
    <n v="0.19269999999999998"/>
    <n v="38.14"/>
    <n v="1.11E-2"/>
    <n v="2.88"/>
    <n v="0.60899999999999999"/>
    <n v="64.03"/>
    <n v="86.82"/>
    <n v="104.25"/>
    <n v="70000"/>
    <n v="6370000"/>
  </r>
  <r>
    <x v="12"/>
    <s v="2022-01"/>
    <s v="2022"/>
    <s v="01"/>
    <x v="2"/>
    <s v="Turkish Airlines"/>
    <s v="Turkey"/>
    <x v="2"/>
    <x v="0"/>
    <n v="432"/>
    <n v="3429.48"/>
    <n v="518.77"/>
    <n v="0.15130000000000002"/>
    <n v="204.24"/>
    <n v="5.96E-2"/>
    <n v="2.9"/>
    <n v="6.3E-2"/>
    <n v="0"/>
    <n v="72.010000000000005"/>
    <n v="81.44"/>
    <n v="70000"/>
    <n v="6370000"/>
  </r>
  <r>
    <x v="13"/>
    <s v="2022-04"/>
    <s v="2022"/>
    <s v="04"/>
    <x v="3"/>
    <s v="Turkish Airlines"/>
    <s v="Turkey"/>
    <x v="2"/>
    <x v="0"/>
    <n v="432"/>
    <n v="4827.62"/>
    <n v="838.48"/>
    <n v="0.17370000000000002"/>
    <n v="476.74"/>
    <n v="9.8800000000000013E-2"/>
    <n v="4.43"/>
    <n v="0.39600000000000002"/>
    <n v="153.59"/>
    <n v="109.53"/>
    <n v="131.63"/>
    <n v="70000"/>
    <n v="6370000"/>
  </r>
  <r>
    <x v="14"/>
    <s v="2022-07"/>
    <s v="2022"/>
    <s v="07"/>
    <x v="3"/>
    <s v="Turkish Airlines"/>
    <s v="Turkey"/>
    <x v="2"/>
    <x v="0"/>
    <n v="432"/>
    <n v="4645.7"/>
    <n v="601.9"/>
    <n v="0.12960000000000002"/>
    <n v="198.39"/>
    <n v="4.2699999999999995E-2"/>
    <n v="4.08"/>
    <n v="9.6999999999999989E-2"/>
    <n v="2.91"/>
    <n v="80.69"/>
    <n v="94.49"/>
    <n v="70000"/>
    <n v="6370000"/>
  </r>
  <r>
    <x v="15"/>
    <s v="2022-10"/>
    <s v="2022"/>
    <s v="10"/>
    <x v="3"/>
    <s v="Turkish Airlines"/>
    <s v="Turkey"/>
    <x v="2"/>
    <x v="0"/>
    <n v="432"/>
    <n v="4476.1899999999996"/>
    <n v="672.42"/>
    <n v="0.1502"/>
    <n v="264.05"/>
    <n v="5.9000000000000004E-2"/>
    <n v="3.71"/>
    <n v="0.51400000000000001"/>
    <n v="59.75"/>
    <n v="93.25"/>
    <n v="105.56"/>
    <n v="70000"/>
    <n v="6370000"/>
  </r>
  <r>
    <x v="16"/>
    <s v="2023-01"/>
    <s v="2023"/>
    <s v="01"/>
    <x v="4"/>
    <s v="Turkish Airlines"/>
    <s v="Turkey"/>
    <x v="2"/>
    <x v="0"/>
    <n v="432"/>
    <n v="4472.0600000000004"/>
    <n v="618.72"/>
    <n v="0.1384"/>
    <n v="322.7"/>
    <n v="7.22E-2"/>
    <n v="4"/>
    <n v="0.60399999999999998"/>
    <n v="29.61"/>
    <n v="84.29"/>
    <n v="97.13"/>
    <n v="70000"/>
    <n v="6370000"/>
  </r>
  <r>
    <x v="17"/>
    <s v="2023-04"/>
    <s v="2023"/>
    <s v="04"/>
    <x v="4"/>
    <s v="Turkish Airlines"/>
    <s v="Turkey"/>
    <x v="2"/>
    <x v="0"/>
    <n v="432"/>
    <n v="4815.38"/>
    <n v="649.54999999999995"/>
    <n v="0.13489999999999999"/>
    <n v="334.62"/>
    <n v="6.9500000000000006E-2"/>
    <n v="4.17"/>
    <n v="0.22"/>
    <n v="19.010000000000002"/>
    <n v="88.18"/>
    <n v="101.97"/>
    <n v="70000"/>
    <n v="6370000"/>
  </r>
  <r>
    <x v="18"/>
    <s v="2023-07"/>
    <s v="2023"/>
    <s v="07"/>
    <x v="4"/>
    <s v="Turkish Airlines"/>
    <s v="Turkey"/>
    <x v="2"/>
    <x v="0"/>
    <n v="432"/>
    <n v="4575.21"/>
    <n v="621.20000000000005"/>
    <n v="0.1358"/>
    <n v="249.28"/>
    <n v="5.45E-2"/>
    <n v="4.0599999999999996"/>
    <n v="0.17600000000000002"/>
    <n v="9.14"/>
    <n v="85.16"/>
    <n v="97.52"/>
    <n v="70000"/>
    <n v="6370000"/>
  </r>
  <r>
    <x v="19"/>
    <s v="2023-10"/>
    <s v="2023"/>
    <s v="10"/>
    <x v="5"/>
    <s v="Turkish Airlines"/>
    <s v="Turkey"/>
    <x v="2"/>
    <x v="0"/>
    <n v="432"/>
    <n v="4521.12"/>
    <n v="573.04999999999995"/>
    <n v="0.12670000000000001"/>
    <n v="278.72000000000003"/>
    <n v="6.1600000000000002E-2"/>
    <n v="4.05"/>
    <n v="0.16699999999999998"/>
    <n v="0"/>
    <n v="78.33"/>
    <n v="89.96"/>
    <n v="70000"/>
    <n v="6370000"/>
  </r>
  <r>
    <x v="20"/>
    <s v="2024-01"/>
    <s v="2024"/>
    <s v="01"/>
    <x v="5"/>
    <s v="Turkish Airlines"/>
    <s v="Turkey"/>
    <x v="2"/>
    <x v="0"/>
    <n v="432"/>
    <n v="4610.26"/>
    <n v="630.76"/>
    <n v="0.1368"/>
    <n v="470.55"/>
    <n v="0.10210000000000001"/>
    <n v="4.2699999999999996"/>
    <n v="0.157"/>
    <n v="9.92"/>
    <n v="84.61"/>
    <n v="99.02"/>
    <n v="70000"/>
    <n v="6370000"/>
  </r>
  <r>
    <x v="21"/>
    <s v="2024-04"/>
    <s v="2024"/>
    <s v="04"/>
    <x v="5"/>
    <s v="Turkish Airlines"/>
    <s v="Turkey"/>
    <x v="2"/>
    <x v="0"/>
    <n v="432"/>
    <n v="4753.4799999999996"/>
    <n v="648.34"/>
    <n v="0.13639999999999999"/>
    <n v="553.57000000000005"/>
    <n v="0.11650000000000001"/>
    <n v="4.4000000000000004"/>
    <n v="4.4999999999999998E-2"/>
    <n v="3.82"/>
    <n v="84.06"/>
    <n v="101.78"/>
    <n v="70000"/>
    <n v="6370000"/>
  </r>
  <r>
    <x v="22"/>
    <s v="2024-07"/>
    <s v="2024"/>
    <s v="07"/>
    <x v="5"/>
    <s v="Turkish Airlines"/>
    <s v="Turkey"/>
    <x v="2"/>
    <x v="0"/>
    <n v="432"/>
    <n v="4685"/>
    <n v="598.65"/>
    <n v="0.1278"/>
    <n v="526.26"/>
    <n v="0.11230000000000001"/>
    <n v="3.91"/>
    <n v="0.127"/>
    <n v="3.36"/>
    <n v="80.400000000000006"/>
    <n v="93.98"/>
    <n v="70000"/>
    <n v="6370000"/>
  </r>
  <r>
    <x v="23"/>
    <s v="2024-10"/>
    <s v="2024"/>
    <s v="10"/>
    <x v="5"/>
    <s v="Turkish Airlines"/>
    <s v="Turkey"/>
    <x v="2"/>
    <x v="0"/>
    <n v="432"/>
    <n v="4850.03"/>
    <n v="716.75"/>
    <n v="0.14779999999999999"/>
    <n v="331.62"/>
    <n v="6.8400000000000002E-2"/>
    <n v="4.17"/>
    <n v="0.34"/>
    <n v="60.98"/>
    <n v="94.78"/>
    <n v="112.52"/>
    <n v="70000"/>
    <n v="6370000"/>
  </r>
  <r>
    <x v="24"/>
    <s v="2025-01"/>
    <s v="2025"/>
    <s v="01"/>
    <x v="6"/>
    <s v="Turkish Airlines"/>
    <s v="Turkey"/>
    <x v="2"/>
    <x v="0"/>
    <n v="432"/>
    <n v="4923.6000000000004"/>
    <n v="646.80999999999995"/>
    <n v="0.13140000000000002"/>
    <n v="442.28"/>
    <n v="8.9800000000000005E-2"/>
    <n v="4.74"/>
    <n v="6.9000000000000006E-2"/>
    <n v="5.72"/>
    <n v="85.13"/>
    <n v="101.54"/>
    <n v="70000"/>
    <n v="6370000"/>
  </r>
  <r>
    <x v="25"/>
    <s v="2025-04"/>
    <s v="2025"/>
    <s v="04"/>
    <x v="6"/>
    <s v="Turkish Airlines"/>
    <s v="Turkey"/>
    <x v="2"/>
    <x v="0"/>
    <n v="432"/>
    <n v="4925.79"/>
    <n v="767.14"/>
    <n v="0.15570000000000001"/>
    <n v="464.82"/>
    <n v="9.4399999999999998E-2"/>
    <n v="4.67"/>
    <n v="0.20600000000000002"/>
    <n v="53.43"/>
    <n v="101.77"/>
    <n v="120.43"/>
    <n v="70000"/>
    <n v="6370000"/>
  </r>
  <r>
    <x v="26"/>
    <s v="2025-07"/>
    <s v="2025"/>
    <s v="07"/>
    <x v="6"/>
    <s v="Turkish Airlines"/>
    <s v="Turkey"/>
    <x v="2"/>
    <x v="0"/>
    <n v="432"/>
    <n v="4759.5600000000004"/>
    <n v="714.84"/>
    <n v="0.1502"/>
    <n v="582.38"/>
    <n v="0.12240000000000001"/>
    <n v="4.53"/>
    <n v="0.24399999999999999"/>
    <n v="43.06"/>
    <n v="93.24"/>
    <n v="112.22"/>
    <n v="70000"/>
    <n v="6370000"/>
  </r>
  <r>
    <x v="27"/>
    <s v="2025-10"/>
    <s v="2025"/>
    <s v="10"/>
    <x v="6"/>
    <s v="Turkish Airlines"/>
    <s v="Turkey"/>
    <x v="2"/>
    <x v="0"/>
    <n v="432"/>
    <n v="4967.3599999999997"/>
    <n v="711.34"/>
    <n v="0.14319999999999999"/>
    <n v="537.66999999999996"/>
    <n v="0.1082"/>
    <n v="4.3499999999999996"/>
    <n v="0.63"/>
    <n v="107.9"/>
    <n v="99.34"/>
    <n v="111.67"/>
    <n v="70000"/>
    <n v="6370000"/>
  </r>
  <r>
    <x v="28"/>
    <s v="2026-01"/>
    <s v="2026"/>
    <s v="01"/>
    <x v="7"/>
    <s v="Turkish Airlines"/>
    <s v="Turkey"/>
    <x v="2"/>
    <x v="0"/>
    <n v="432"/>
    <n v="3319.04"/>
    <n v="935.12"/>
    <n v="0.28170000000000001"/>
    <n v="-575.75"/>
    <n v="-0.17350000000000002"/>
    <n v="2.85"/>
    <n v="0.60799999999999998"/>
    <n v="358.82"/>
    <n v="130.88"/>
    <n v="146.80000000000001"/>
    <n v="70000"/>
    <n v="6370000"/>
  </r>
  <r>
    <x v="0"/>
    <s v="2019-01"/>
    <s v="2019"/>
    <s v="01"/>
    <x v="0"/>
    <s v="Ryanair"/>
    <s v="Ireland"/>
    <x v="2"/>
    <x v="1"/>
    <n v="562"/>
    <n v="3081.37"/>
    <n v="373.27"/>
    <n v="0.1211"/>
    <n v="316.77"/>
    <n v="0.10279999999999999"/>
    <n v="5.48"/>
    <n v="0.114"/>
    <n v="0"/>
    <n v="63"/>
    <n v="74.58"/>
    <n v="55000"/>
    <n v="5005000"/>
  </r>
  <r>
    <x v="1"/>
    <s v="2019-04"/>
    <s v="2019"/>
    <s v="04"/>
    <x v="0"/>
    <s v="Ryanair"/>
    <s v="Ireland"/>
    <x v="2"/>
    <x v="1"/>
    <n v="562"/>
    <n v="3102.38"/>
    <n v="367.07"/>
    <n v="0.1183"/>
    <n v="138.93"/>
    <n v="4.4800000000000006E-2"/>
    <n v="4.92"/>
    <n v="0.33299999999999996"/>
    <n v="0"/>
    <n v="64.790000000000006"/>
    <n v="73.34"/>
    <n v="55000"/>
    <n v="5005000"/>
  </r>
  <r>
    <x v="2"/>
    <s v="2019-07"/>
    <s v="2019"/>
    <s v="07"/>
    <x v="0"/>
    <s v="Ryanair"/>
    <s v="Ireland"/>
    <x v="2"/>
    <x v="1"/>
    <n v="562"/>
    <n v="3432.69"/>
    <n v="355.91"/>
    <n v="0.10369999999999999"/>
    <n v="446.74"/>
    <n v="0.13009999999999999"/>
    <n v="5.69"/>
    <n v="0.30399999999999999"/>
    <n v="0"/>
    <n v="60.46"/>
    <n v="71.11"/>
    <n v="55000"/>
    <n v="5005000"/>
  </r>
  <r>
    <x v="3"/>
    <s v="2019-10"/>
    <s v="2019"/>
    <s v="10"/>
    <x v="0"/>
    <s v="Ryanair"/>
    <s v="Ireland"/>
    <x v="2"/>
    <x v="1"/>
    <n v="562"/>
    <n v="3384.05"/>
    <n v="385.23"/>
    <n v="0.11380000000000001"/>
    <n v="410.31"/>
    <n v="0.12119999999999999"/>
    <n v="5.26"/>
    <n v="0.125"/>
    <n v="0"/>
    <n v="65.66"/>
    <n v="76.97"/>
    <n v="55000"/>
    <n v="5005000"/>
  </r>
  <r>
    <x v="4"/>
    <s v="2020-01"/>
    <s v="2020"/>
    <s v="01"/>
    <x v="0"/>
    <s v="Ryanair"/>
    <s v="Ireland"/>
    <x v="2"/>
    <x v="1"/>
    <n v="562"/>
    <n v="3430.6"/>
    <n v="377.28"/>
    <n v="0.11"/>
    <n v="391.06"/>
    <n v="0.114"/>
    <n v="6.24"/>
    <n v="0.23"/>
    <n v="0"/>
    <n v="66.66"/>
    <n v="75.38"/>
    <n v="55000"/>
    <n v="5005000"/>
  </r>
  <r>
    <x v="5"/>
    <s v="2020-04"/>
    <s v="2020"/>
    <s v="04"/>
    <x v="1"/>
    <s v="Ryanair"/>
    <s v="Ireland"/>
    <x v="2"/>
    <x v="1"/>
    <n v="562"/>
    <n v="731.56"/>
    <n v="118.57"/>
    <n v="0.16210000000000002"/>
    <n v="-210.1"/>
    <n v="-0.28720000000000001"/>
    <n v="1.24"/>
    <n v="0.18100000000000002"/>
    <n v="0"/>
    <n v="20.57"/>
    <n v="23.69"/>
    <n v="55000"/>
    <n v="5005000"/>
  </r>
  <r>
    <x v="6"/>
    <s v="2020-07"/>
    <s v="2020"/>
    <s v="07"/>
    <x v="1"/>
    <s v="Ryanair"/>
    <s v="Ireland"/>
    <x v="2"/>
    <x v="1"/>
    <n v="562"/>
    <n v="702.64"/>
    <n v="252.4"/>
    <n v="0.35920000000000002"/>
    <n v="-288.45"/>
    <n v="-0.41049999999999998"/>
    <n v="1.2"/>
    <n v="0.23199999999999998"/>
    <n v="0"/>
    <n v="44.05"/>
    <n v="50.43"/>
    <n v="55000"/>
    <n v="5005000"/>
  </r>
  <r>
    <x v="7"/>
    <s v="2020-10"/>
    <s v="2020"/>
    <s v="10"/>
    <x v="1"/>
    <s v="Ryanair"/>
    <s v="Ireland"/>
    <x v="2"/>
    <x v="1"/>
    <n v="562"/>
    <n v="858.09"/>
    <n v="228.53"/>
    <n v="0.26629999999999998"/>
    <n v="-361.21"/>
    <n v="-0.42090000000000005"/>
    <n v="1.58"/>
    <n v="0.31"/>
    <n v="0"/>
    <n v="39.950000000000003"/>
    <n v="45.66"/>
    <n v="55000"/>
    <n v="5005000"/>
  </r>
  <r>
    <x v="8"/>
    <s v="2021-01"/>
    <s v="2021"/>
    <s v="01"/>
    <x v="1"/>
    <s v="Ryanair"/>
    <s v="Ireland"/>
    <x v="2"/>
    <x v="1"/>
    <n v="562"/>
    <n v="563.82000000000005"/>
    <n v="429.28"/>
    <n v="0.76139999999999997"/>
    <n v="-242.53"/>
    <n v="-0.43020000000000003"/>
    <n v="0.99"/>
    <n v="0.17"/>
    <n v="0"/>
    <n v="75.489999999999995"/>
    <n v="85.77"/>
    <n v="55000"/>
    <n v="5005000"/>
  </r>
  <r>
    <x v="9"/>
    <s v="2021-04"/>
    <s v="2021"/>
    <s v="04"/>
    <x v="1"/>
    <s v="Ryanair"/>
    <s v="Ireland"/>
    <x v="2"/>
    <x v="1"/>
    <n v="562"/>
    <n v="684.19"/>
    <n v="455.05"/>
    <n v="0.66510000000000002"/>
    <n v="-164.21"/>
    <n v="-0.24"/>
    <n v="1.1299999999999999"/>
    <n v="0.27100000000000002"/>
    <n v="1.26"/>
    <n v="76.83"/>
    <n v="90.92"/>
    <n v="55000"/>
    <n v="5005000"/>
  </r>
  <r>
    <x v="10"/>
    <s v="2021-07"/>
    <s v="2021"/>
    <s v="07"/>
    <x v="2"/>
    <s v="Ryanair"/>
    <s v="Ireland"/>
    <x v="2"/>
    <x v="1"/>
    <n v="562"/>
    <n v="2423.73"/>
    <n v="450.05"/>
    <n v="0.1857"/>
    <n v="-38.33"/>
    <n v="-1.5800000000000002E-2"/>
    <n v="3.99"/>
    <n v="0.38"/>
    <n v="0"/>
    <n v="78.97"/>
    <n v="89.92"/>
    <n v="55000"/>
    <n v="5005000"/>
  </r>
  <r>
    <x v="11"/>
    <s v="2021-10"/>
    <s v="2021"/>
    <s v="10"/>
    <x v="2"/>
    <s v="Ryanair"/>
    <s v="Ireland"/>
    <x v="2"/>
    <x v="1"/>
    <n v="562"/>
    <n v="2292.08"/>
    <n v="521.77"/>
    <n v="0.22760000000000002"/>
    <n v="119.01"/>
    <n v="5.1900000000000002E-2"/>
    <n v="4.1900000000000004"/>
    <n v="7.4999999999999997E-2"/>
    <n v="6.2"/>
    <n v="86.82"/>
    <n v="104.25"/>
    <n v="55000"/>
    <n v="5005000"/>
  </r>
  <r>
    <x v="12"/>
    <s v="2022-01"/>
    <s v="2022"/>
    <s v="01"/>
    <x v="2"/>
    <s v="Ryanair"/>
    <s v="Ireland"/>
    <x v="2"/>
    <x v="1"/>
    <n v="562"/>
    <n v="2504.39"/>
    <n v="407.61"/>
    <n v="0.1628"/>
    <n v="118.72"/>
    <n v="4.7400000000000005E-2"/>
    <n v="4.21"/>
    <n v="0.249"/>
    <n v="0"/>
    <n v="72.010000000000005"/>
    <n v="81.44"/>
    <n v="55000"/>
    <n v="5005000"/>
  </r>
  <r>
    <x v="13"/>
    <s v="2022-04"/>
    <s v="2022"/>
    <s v="04"/>
    <x v="3"/>
    <s v="Ryanair"/>
    <s v="Ireland"/>
    <x v="2"/>
    <x v="1"/>
    <n v="562"/>
    <n v="2983.56"/>
    <n v="658.81"/>
    <n v="0.2208"/>
    <n v="135.69"/>
    <n v="4.5499999999999999E-2"/>
    <n v="5.29"/>
    <n v="0.26100000000000001"/>
    <n v="79.540000000000006"/>
    <n v="109.53"/>
    <n v="131.63"/>
    <n v="55000"/>
    <n v="5005000"/>
  </r>
  <r>
    <x v="14"/>
    <s v="2022-07"/>
    <s v="2022"/>
    <s v="07"/>
    <x v="3"/>
    <s v="Ryanair"/>
    <s v="Ireland"/>
    <x v="2"/>
    <x v="1"/>
    <n v="562"/>
    <n v="2967.29"/>
    <n v="472.92"/>
    <n v="0.15939999999999999"/>
    <n v="293.89"/>
    <n v="9.9000000000000005E-2"/>
    <n v="5.5"/>
    <n v="0.128"/>
    <n v="3.02"/>
    <n v="80.69"/>
    <n v="94.49"/>
    <n v="55000"/>
    <n v="5005000"/>
  </r>
  <r>
    <x v="15"/>
    <s v="2022-10"/>
    <s v="2022"/>
    <s v="10"/>
    <x v="3"/>
    <s v="Ryanair"/>
    <s v="Ireland"/>
    <x v="2"/>
    <x v="1"/>
    <n v="562"/>
    <n v="3440.08"/>
    <n v="528.33000000000004"/>
    <n v="0.15359999999999999"/>
    <n v="142.33000000000001"/>
    <n v="4.1399999999999999E-2"/>
    <n v="5.94"/>
    <n v="0.32400000000000001"/>
    <n v="29.59"/>
    <n v="93.25"/>
    <n v="105.56"/>
    <n v="55000"/>
    <n v="5005000"/>
  </r>
  <r>
    <x v="16"/>
    <s v="2023-01"/>
    <s v="2023"/>
    <s v="01"/>
    <x v="4"/>
    <s v="Ryanair"/>
    <s v="Ireland"/>
    <x v="2"/>
    <x v="1"/>
    <n v="562"/>
    <n v="3183.14"/>
    <n v="486.14"/>
    <n v="0.1527"/>
    <n v="304.04000000000002"/>
    <n v="9.5500000000000002E-2"/>
    <n v="5.37"/>
    <n v="0.316"/>
    <n v="12.17"/>
    <n v="84.29"/>
    <n v="97.13"/>
    <n v="55000"/>
    <n v="5005000"/>
  </r>
  <r>
    <x v="17"/>
    <s v="2023-04"/>
    <s v="2023"/>
    <s v="04"/>
    <x v="4"/>
    <s v="Ryanair"/>
    <s v="Ireland"/>
    <x v="2"/>
    <x v="1"/>
    <n v="562"/>
    <n v="3239.13"/>
    <n v="510.36"/>
    <n v="0.15759999999999999"/>
    <n v="313.2"/>
    <n v="9.6699999999999994E-2"/>
    <n v="5.9"/>
    <n v="0.29499999999999998"/>
    <n v="20.02"/>
    <n v="88.18"/>
    <n v="101.97"/>
    <n v="55000"/>
    <n v="5005000"/>
  </r>
  <r>
    <x v="18"/>
    <s v="2023-07"/>
    <s v="2023"/>
    <s v="07"/>
    <x v="4"/>
    <s v="Ryanair"/>
    <s v="Ireland"/>
    <x v="2"/>
    <x v="1"/>
    <n v="562"/>
    <n v="3259.44"/>
    <n v="488.09"/>
    <n v="0.1497"/>
    <n v="280.73"/>
    <n v="8.6099999999999996E-2"/>
    <n v="5.14"/>
    <n v="7.0000000000000007E-2"/>
    <n v="2.85"/>
    <n v="85.16"/>
    <n v="97.52"/>
    <n v="55000"/>
    <n v="5005000"/>
  </r>
  <r>
    <x v="19"/>
    <s v="2023-10"/>
    <s v="2023"/>
    <s v="10"/>
    <x v="5"/>
    <s v="Ryanair"/>
    <s v="Ireland"/>
    <x v="2"/>
    <x v="1"/>
    <n v="562"/>
    <n v="3436.35"/>
    <n v="450.25"/>
    <n v="0.13100000000000001"/>
    <n v="201.55"/>
    <n v="5.8700000000000002E-2"/>
    <n v="5.59"/>
    <n v="0.26400000000000001"/>
    <n v="0"/>
    <n v="78.33"/>
    <n v="89.96"/>
    <n v="55000"/>
    <n v="5005000"/>
  </r>
  <r>
    <x v="20"/>
    <s v="2024-01"/>
    <s v="2024"/>
    <s v="01"/>
    <x v="5"/>
    <s v="Ryanair"/>
    <s v="Ireland"/>
    <x v="2"/>
    <x v="1"/>
    <n v="562"/>
    <n v="3384.42"/>
    <n v="495.6"/>
    <n v="0.1464"/>
    <n v="417.35"/>
    <n v="0.12330000000000001"/>
    <n v="6.15"/>
    <n v="0.39200000000000002"/>
    <n v="19.47"/>
    <n v="84.61"/>
    <n v="99.02"/>
    <n v="55000"/>
    <n v="5005000"/>
  </r>
  <r>
    <x v="21"/>
    <s v="2024-04"/>
    <s v="2024"/>
    <s v="04"/>
    <x v="5"/>
    <s v="Ryanair"/>
    <s v="Ireland"/>
    <x v="2"/>
    <x v="1"/>
    <n v="562"/>
    <n v="3063.17"/>
    <n v="509.41"/>
    <n v="0.1663"/>
    <n v="245.01"/>
    <n v="0.08"/>
    <n v="5.65"/>
    <n v="0.214"/>
    <n v="14.27"/>
    <n v="84.06"/>
    <n v="101.78"/>
    <n v="55000"/>
    <n v="5005000"/>
  </r>
  <r>
    <x v="22"/>
    <s v="2024-07"/>
    <s v="2024"/>
    <s v="07"/>
    <x v="5"/>
    <s v="Ryanair"/>
    <s v="Ireland"/>
    <x v="2"/>
    <x v="1"/>
    <n v="562"/>
    <n v="3402.46"/>
    <n v="470.37"/>
    <n v="0.13819999999999999"/>
    <n v="142.11000000000001"/>
    <n v="4.1799999999999997E-2"/>
    <n v="5.8"/>
    <n v="0.373"/>
    <n v="7.76"/>
    <n v="80.400000000000006"/>
    <n v="93.98"/>
    <n v="55000"/>
    <n v="5005000"/>
  </r>
  <r>
    <x v="23"/>
    <s v="2024-10"/>
    <s v="2024"/>
    <s v="10"/>
    <x v="5"/>
    <s v="Ryanair"/>
    <s v="Ireland"/>
    <x v="2"/>
    <x v="1"/>
    <n v="562"/>
    <n v="3148.69"/>
    <n v="563.16"/>
    <n v="0.1789"/>
    <n v="418.67"/>
    <n v="0.13300000000000001"/>
    <n v="4.84"/>
    <n v="7.8E-2"/>
    <n v="10.99"/>
    <n v="94.78"/>
    <n v="112.52"/>
    <n v="55000"/>
    <n v="5005000"/>
  </r>
  <r>
    <x v="24"/>
    <s v="2025-01"/>
    <s v="2025"/>
    <s v="01"/>
    <x v="6"/>
    <s v="Ryanair"/>
    <s v="Ireland"/>
    <x v="2"/>
    <x v="1"/>
    <n v="562"/>
    <n v="3238.36"/>
    <n v="508.21"/>
    <n v="0.15689999999999998"/>
    <n v="163.98"/>
    <n v="5.0599999999999999E-2"/>
    <n v="5.21"/>
    <n v="0.154"/>
    <n v="10.039999999999999"/>
    <n v="85.13"/>
    <n v="101.54"/>
    <n v="55000"/>
    <n v="5005000"/>
  </r>
  <r>
    <x v="25"/>
    <s v="2025-04"/>
    <s v="2025"/>
    <s v="04"/>
    <x v="6"/>
    <s v="Ryanair"/>
    <s v="Ireland"/>
    <x v="2"/>
    <x v="1"/>
    <n v="562"/>
    <n v="3240.3"/>
    <n v="602.75"/>
    <n v="0.18600000000000003"/>
    <n v="256.14999999999998"/>
    <n v="7.9100000000000004E-2"/>
    <n v="5.99"/>
    <n v="0.36"/>
    <n v="73.37"/>
    <n v="101.77"/>
    <n v="120.43"/>
    <n v="55000"/>
    <n v="5005000"/>
  </r>
  <r>
    <x v="26"/>
    <s v="2025-07"/>
    <s v="2025"/>
    <s v="07"/>
    <x v="6"/>
    <s v="Ryanair"/>
    <s v="Ireland"/>
    <x v="2"/>
    <x v="1"/>
    <n v="562"/>
    <n v="3351.2"/>
    <n v="561.66"/>
    <n v="0.16760000000000003"/>
    <n v="355"/>
    <n v="0.10589999999999999"/>
    <n v="5.37"/>
    <n v="0.26100000000000001"/>
    <n v="36.19"/>
    <n v="93.24"/>
    <n v="112.22"/>
    <n v="55000"/>
    <n v="5005000"/>
  </r>
  <r>
    <x v="27"/>
    <s v="2025-10"/>
    <s v="2025"/>
    <s v="10"/>
    <x v="6"/>
    <s v="Ryanair"/>
    <s v="Ireland"/>
    <x v="2"/>
    <x v="1"/>
    <n v="562"/>
    <n v="3101.18"/>
    <n v="558.91"/>
    <n v="0.1802"/>
    <n v="264.44"/>
    <n v="8.5299999999999987E-2"/>
    <n v="5.24"/>
    <n v="0.29100000000000004"/>
    <n v="39.159999999999997"/>
    <n v="99.34"/>
    <n v="111.67"/>
    <n v="55000"/>
    <n v="5005000"/>
  </r>
  <r>
    <x v="28"/>
    <s v="2026-01"/>
    <s v="2026"/>
    <s v="01"/>
    <x v="7"/>
    <s v="Ryanair"/>
    <s v="Ireland"/>
    <x v="2"/>
    <x v="1"/>
    <n v="562"/>
    <n v="2774.48"/>
    <n v="734.73"/>
    <n v="0.26479999999999998"/>
    <n v="-515.77"/>
    <n v="-0.18590000000000001"/>
    <n v="4.29"/>
    <n v="6.6000000000000003E-2"/>
    <n v="30.6"/>
    <n v="130.88"/>
    <n v="146.80000000000001"/>
    <n v="55000"/>
    <n v="5005000"/>
  </r>
  <r>
    <x v="0"/>
    <s v="2019-01"/>
    <s v="2019"/>
    <s v="01"/>
    <x v="0"/>
    <s v="American Airlines"/>
    <s v="USA"/>
    <x v="3"/>
    <x v="0"/>
    <n v="958"/>
    <n v="14041.2"/>
    <n v="814.41"/>
    <n v="5.7999999999999996E-2"/>
    <n v="1244.51"/>
    <n v="8.8599999999999998E-2"/>
    <n v="9.39"/>
    <n v="2.1000000000000001E-2"/>
    <n v="0"/>
    <n v="63"/>
    <n v="74.58"/>
    <n v="120000"/>
    <n v="10920000"/>
  </r>
  <r>
    <x v="1"/>
    <s v="2019-04"/>
    <s v="2019"/>
    <s v="04"/>
    <x v="0"/>
    <s v="American Airlines"/>
    <s v="USA"/>
    <x v="3"/>
    <x v="0"/>
    <n v="958"/>
    <n v="13447.36"/>
    <n v="800.87"/>
    <n v="5.96E-2"/>
    <n v="722.25"/>
    <n v="5.3699999999999998E-2"/>
    <n v="9.31"/>
    <n v="0.33500000000000002"/>
    <n v="0"/>
    <n v="64.790000000000006"/>
    <n v="73.34"/>
    <n v="120000"/>
    <n v="10920000"/>
  </r>
  <r>
    <x v="2"/>
    <s v="2019-07"/>
    <s v="2019"/>
    <s v="07"/>
    <x v="0"/>
    <s v="American Airlines"/>
    <s v="USA"/>
    <x v="3"/>
    <x v="0"/>
    <n v="958"/>
    <n v="12933.31"/>
    <n v="776.52"/>
    <n v="0.06"/>
    <n v="774.49"/>
    <n v="5.9900000000000002E-2"/>
    <n v="8.23"/>
    <n v="0.38100000000000001"/>
    <n v="0"/>
    <n v="60.46"/>
    <n v="71.11"/>
    <n v="120000"/>
    <n v="10920000"/>
  </r>
  <r>
    <x v="3"/>
    <s v="2019-10"/>
    <s v="2019"/>
    <s v="10"/>
    <x v="0"/>
    <s v="American Airlines"/>
    <s v="USA"/>
    <x v="3"/>
    <x v="0"/>
    <n v="958"/>
    <n v="12883.96"/>
    <n v="840.51"/>
    <n v="6.5199999999999994E-2"/>
    <n v="1646.86"/>
    <n v="0.1278"/>
    <n v="9.26"/>
    <n v="0.36200000000000004"/>
    <n v="0"/>
    <n v="65.66"/>
    <n v="76.97"/>
    <n v="120000"/>
    <n v="10920000"/>
  </r>
  <r>
    <x v="4"/>
    <s v="2020-01"/>
    <s v="2020"/>
    <s v="01"/>
    <x v="0"/>
    <s v="American Airlines"/>
    <s v="USA"/>
    <x v="3"/>
    <x v="0"/>
    <n v="958"/>
    <n v="13406.04"/>
    <n v="823.15"/>
    <n v="6.1399999999999996E-2"/>
    <n v="824.89"/>
    <n v="6.1500000000000006E-2"/>
    <n v="10.32"/>
    <n v="0.629"/>
    <n v="0"/>
    <n v="66.66"/>
    <n v="75.38"/>
    <n v="120000"/>
    <n v="10920000"/>
  </r>
  <r>
    <x v="5"/>
    <s v="2020-04"/>
    <s v="2020"/>
    <s v="04"/>
    <x v="1"/>
    <s v="American Airlines"/>
    <s v="USA"/>
    <x v="3"/>
    <x v="0"/>
    <n v="958"/>
    <n v="2828.16"/>
    <n v="258.69"/>
    <n v="9.1499999999999998E-2"/>
    <n v="-723.86"/>
    <n v="-0.25590000000000002"/>
    <n v="1.84"/>
    <n v="0.50700000000000001"/>
    <n v="0"/>
    <n v="20.57"/>
    <n v="23.69"/>
    <n v="120000"/>
    <n v="10920000"/>
  </r>
  <r>
    <x v="6"/>
    <s v="2020-07"/>
    <s v="2020"/>
    <s v="07"/>
    <x v="1"/>
    <s v="American Airlines"/>
    <s v="USA"/>
    <x v="3"/>
    <x v="0"/>
    <n v="958"/>
    <n v="2735.92"/>
    <n v="550.70000000000005"/>
    <n v="0.20129999999999998"/>
    <n v="-1033.4000000000001"/>
    <n v="-0.37770000000000004"/>
    <n v="1.93"/>
    <n v="0.255"/>
    <n v="0"/>
    <n v="44.05"/>
    <n v="50.43"/>
    <n v="120000"/>
    <n v="10920000"/>
  </r>
  <r>
    <x v="7"/>
    <s v="2020-10"/>
    <s v="2020"/>
    <s v="10"/>
    <x v="1"/>
    <s v="American Airlines"/>
    <s v="USA"/>
    <x v="3"/>
    <x v="0"/>
    <n v="958"/>
    <n v="2291.0700000000002"/>
    <n v="498.61"/>
    <n v="0.21760000000000002"/>
    <n v="-691.29"/>
    <n v="-0.30170000000000002"/>
    <n v="1.52"/>
    <n v="0.28899999999999998"/>
    <n v="0"/>
    <n v="39.950000000000003"/>
    <n v="45.66"/>
    <n v="120000"/>
    <n v="10920000"/>
  </r>
  <r>
    <x v="8"/>
    <s v="2021-01"/>
    <s v="2021"/>
    <s v="01"/>
    <x v="1"/>
    <s v="American Airlines"/>
    <s v="USA"/>
    <x v="3"/>
    <x v="0"/>
    <n v="958"/>
    <n v="2589.87"/>
    <n v="936.61"/>
    <n v="0.36159999999999998"/>
    <n v="-610.17999999999995"/>
    <n v="-0.23559999999999998"/>
    <n v="1.76"/>
    <n v="0.57700000000000007"/>
    <n v="0"/>
    <n v="75.489999999999995"/>
    <n v="85.77"/>
    <n v="120000"/>
    <n v="10920000"/>
  </r>
  <r>
    <x v="9"/>
    <s v="2021-04"/>
    <s v="2021"/>
    <s v="04"/>
    <x v="1"/>
    <s v="American Airlines"/>
    <s v="USA"/>
    <x v="3"/>
    <x v="0"/>
    <n v="958"/>
    <n v="2840.9"/>
    <n v="992.85"/>
    <n v="0.34950000000000003"/>
    <n v="-1150.92"/>
    <n v="-0.40509999999999996"/>
    <n v="2.0299999999999998"/>
    <n v="0.36099999999999999"/>
    <n v="3.66"/>
    <n v="76.83"/>
    <n v="90.92"/>
    <n v="120000"/>
    <n v="10920000"/>
  </r>
  <r>
    <x v="10"/>
    <s v="2021-07"/>
    <s v="2021"/>
    <s v="07"/>
    <x v="2"/>
    <s v="American Airlines"/>
    <s v="USA"/>
    <x v="3"/>
    <x v="0"/>
    <n v="958"/>
    <n v="10213.93"/>
    <n v="981.93"/>
    <n v="9.6099999999999991E-2"/>
    <n v="-109.51"/>
    <n v="-1.0700000000000001E-2"/>
    <n v="6.93"/>
    <n v="0.154"/>
    <n v="0"/>
    <n v="78.97"/>
    <n v="89.92"/>
    <n v="120000"/>
    <n v="10920000"/>
  </r>
  <r>
    <x v="11"/>
    <s v="2021-10"/>
    <s v="2021"/>
    <s v="10"/>
    <x v="2"/>
    <s v="American Airlines"/>
    <s v="USA"/>
    <x v="3"/>
    <x v="0"/>
    <n v="958"/>
    <n v="11030.98"/>
    <n v="1138.4100000000001"/>
    <n v="0.1032"/>
    <n v="427.83"/>
    <n v="3.8800000000000001E-2"/>
    <n v="8.16"/>
    <n v="0.126"/>
    <n v="22.71"/>
    <n v="86.82"/>
    <n v="104.25"/>
    <n v="120000"/>
    <n v="10920000"/>
  </r>
  <r>
    <x v="12"/>
    <s v="2022-01"/>
    <s v="2022"/>
    <s v="01"/>
    <x v="2"/>
    <s v="American Airlines"/>
    <s v="USA"/>
    <x v="3"/>
    <x v="0"/>
    <n v="958"/>
    <n v="10326.57"/>
    <n v="889.32"/>
    <n v="8.6099999999999996E-2"/>
    <n v="507.51"/>
    <n v="4.9100000000000005E-2"/>
    <n v="7.04"/>
    <n v="0.10300000000000001"/>
    <n v="0"/>
    <n v="72.010000000000005"/>
    <n v="81.44"/>
    <n v="120000"/>
    <n v="10920000"/>
  </r>
  <r>
    <x v="13"/>
    <s v="2022-04"/>
    <s v="2022"/>
    <s v="04"/>
    <x v="3"/>
    <s v="American Airlines"/>
    <s v="USA"/>
    <x v="3"/>
    <x v="0"/>
    <n v="958"/>
    <n v="13720.09"/>
    <n v="1437.4"/>
    <n v="0.1048"/>
    <n v="945.2"/>
    <n v="6.8900000000000003E-2"/>
    <n v="9.81"/>
    <n v="0.11900000000000001"/>
    <n v="79.12"/>
    <n v="109.53"/>
    <n v="131.63"/>
    <n v="120000"/>
    <n v="10920000"/>
  </r>
  <r>
    <x v="14"/>
    <s v="2022-07"/>
    <s v="2022"/>
    <s v="07"/>
    <x v="3"/>
    <s v="American Airlines"/>
    <s v="USA"/>
    <x v="3"/>
    <x v="0"/>
    <n v="958"/>
    <n v="12572.98"/>
    <n v="1031.83"/>
    <n v="8.2100000000000006E-2"/>
    <n v="879.99"/>
    <n v="7.0000000000000007E-2"/>
    <n v="9.0500000000000007"/>
    <n v="0.36099999999999999"/>
    <n v="18.579999999999998"/>
    <n v="80.69"/>
    <n v="94.49"/>
    <n v="120000"/>
    <n v="10920000"/>
  </r>
  <r>
    <x v="15"/>
    <s v="2022-10"/>
    <s v="2022"/>
    <s v="10"/>
    <x v="3"/>
    <s v="American Airlines"/>
    <s v="USA"/>
    <x v="3"/>
    <x v="0"/>
    <n v="958"/>
    <n v="13907.89"/>
    <n v="1152.72"/>
    <n v="8.2899999999999988E-2"/>
    <n v="1184.57"/>
    <n v="8.5199999999999998E-2"/>
    <n v="9.35"/>
    <n v="0.10199999999999999"/>
    <n v="20.329999999999998"/>
    <n v="93.25"/>
    <n v="105.56"/>
    <n v="120000"/>
    <n v="10920000"/>
  </r>
  <r>
    <x v="16"/>
    <s v="2023-01"/>
    <s v="2023"/>
    <s v="01"/>
    <x v="4"/>
    <s v="American Airlines"/>
    <s v="USA"/>
    <x v="3"/>
    <x v="0"/>
    <n v="958"/>
    <n v="12885.2"/>
    <n v="1060.6600000000001"/>
    <n v="8.2299999999999998E-2"/>
    <n v="877.88"/>
    <n v="6.8099999999999994E-2"/>
    <n v="9.8800000000000008"/>
    <n v="8.900000000000001E-2"/>
    <n v="7.48"/>
    <n v="84.29"/>
    <n v="97.13"/>
    <n v="120000"/>
    <n v="10920000"/>
  </r>
  <r>
    <x v="17"/>
    <s v="2023-04"/>
    <s v="2023"/>
    <s v="04"/>
    <x v="4"/>
    <s v="American Airlines"/>
    <s v="USA"/>
    <x v="3"/>
    <x v="0"/>
    <n v="958"/>
    <n v="14047.95"/>
    <n v="1113.51"/>
    <n v="7.9299999999999995E-2"/>
    <n v="847.62"/>
    <n v="6.0299999999999999E-2"/>
    <n v="9.59"/>
    <n v="8.199999999999999E-2"/>
    <n v="12.14"/>
    <n v="88.18"/>
    <n v="101.97"/>
    <n v="120000"/>
    <n v="10920000"/>
  </r>
  <r>
    <x v="18"/>
    <s v="2023-07"/>
    <s v="2023"/>
    <s v="07"/>
    <x v="4"/>
    <s v="American Airlines"/>
    <s v="USA"/>
    <x v="3"/>
    <x v="0"/>
    <n v="958"/>
    <n v="12717.37"/>
    <n v="1064.92"/>
    <n v="8.3699999999999997E-2"/>
    <n v="629.69000000000005"/>
    <n v="4.9500000000000002E-2"/>
    <n v="8.67"/>
    <n v="0.34"/>
    <n v="30.25"/>
    <n v="85.16"/>
    <n v="97.52"/>
    <n v="120000"/>
    <n v="10920000"/>
  </r>
  <r>
    <x v="19"/>
    <s v="2023-10"/>
    <s v="2023"/>
    <s v="10"/>
    <x v="5"/>
    <s v="American Airlines"/>
    <s v="USA"/>
    <x v="3"/>
    <x v="0"/>
    <n v="958"/>
    <n v="12884.59"/>
    <n v="982.36"/>
    <n v="7.6200000000000004E-2"/>
    <n v="1717.1"/>
    <n v="0.1333"/>
    <n v="9.23"/>
    <n v="0.57499999999999996"/>
    <n v="0"/>
    <n v="78.33"/>
    <n v="89.96"/>
    <n v="120000"/>
    <n v="10920000"/>
  </r>
  <r>
    <x v="20"/>
    <s v="2024-01"/>
    <s v="2024"/>
    <s v="01"/>
    <x v="5"/>
    <s v="American Airlines"/>
    <s v="USA"/>
    <x v="3"/>
    <x v="0"/>
    <n v="958"/>
    <n v="12795.37"/>
    <n v="1081.3"/>
    <n v="8.4499999999999992E-2"/>
    <n v="695.42"/>
    <n v="5.4299999999999994E-2"/>
    <n v="9.6300000000000008"/>
    <n v="0.36899999999999999"/>
    <n v="39.99"/>
    <n v="84.61"/>
    <n v="99.02"/>
    <n v="120000"/>
    <n v="10920000"/>
  </r>
  <r>
    <x v="21"/>
    <s v="2024-04"/>
    <s v="2024"/>
    <s v="04"/>
    <x v="5"/>
    <s v="American Airlines"/>
    <s v="USA"/>
    <x v="3"/>
    <x v="0"/>
    <n v="958"/>
    <n v="14150.61"/>
    <n v="1111.44"/>
    <n v="7.85E-2"/>
    <n v="773.89"/>
    <n v="5.4699999999999999E-2"/>
    <n v="9.02"/>
    <n v="0.59599999999999997"/>
    <n v="86.7"/>
    <n v="84.06"/>
    <n v="101.78"/>
    <n v="120000"/>
    <n v="10920000"/>
  </r>
  <r>
    <x v="22"/>
    <s v="2024-07"/>
    <s v="2024"/>
    <s v="07"/>
    <x v="5"/>
    <s v="American Airlines"/>
    <s v="USA"/>
    <x v="3"/>
    <x v="0"/>
    <n v="958"/>
    <n v="13739.2"/>
    <n v="1026.26"/>
    <n v="7.4700000000000003E-2"/>
    <n v="1658.55"/>
    <n v="0.1207"/>
    <n v="9.2799999999999994"/>
    <n v="2E-3"/>
    <n v="0.09"/>
    <n v="80.400000000000006"/>
    <n v="93.98"/>
    <n v="120000"/>
    <n v="10920000"/>
  </r>
  <r>
    <x v="23"/>
    <s v="2024-10"/>
    <s v="2024"/>
    <s v="10"/>
    <x v="5"/>
    <s v="American Airlines"/>
    <s v="USA"/>
    <x v="3"/>
    <x v="0"/>
    <n v="958"/>
    <n v="13368.62"/>
    <n v="1228.72"/>
    <n v="9.1899999999999996E-2"/>
    <n v="1858.25"/>
    <n v="0.13900000000000001"/>
    <n v="10.18"/>
    <n v="4.7E-2"/>
    <n v="14.45"/>
    <n v="94.78"/>
    <n v="112.52"/>
    <n v="120000"/>
    <n v="10920000"/>
  </r>
  <r>
    <x v="24"/>
    <s v="2025-01"/>
    <s v="2025"/>
    <s v="01"/>
    <x v="6"/>
    <s v="American Airlines"/>
    <s v="USA"/>
    <x v="3"/>
    <x v="0"/>
    <n v="958"/>
    <n v="12862.24"/>
    <n v="1108.82"/>
    <n v="8.6199999999999999E-2"/>
    <n v="914.8"/>
    <n v="7.1099999999999997E-2"/>
    <n v="9.65"/>
    <n v="0.53600000000000003"/>
    <n v="76.209999999999994"/>
    <n v="85.13"/>
    <n v="101.54"/>
    <n v="120000"/>
    <n v="10920000"/>
  </r>
  <r>
    <x v="25"/>
    <s v="2025-04"/>
    <s v="2025"/>
    <s v="04"/>
    <x v="6"/>
    <s v="American Airlines"/>
    <s v="USA"/>
    <x v="3"/>
    <x v="0"/>
    <n v="958"/>
    <n v="12857.47"/>
    <n v="1315.1"/>
    <n v="0.1023"/>
    <n v="1199.7"/>
    <n v="9.3299999999999994E-2"/>
    <n v="9.06"/>
    <n v="0.26899999999999996"/>
    <n v="119.61"/>
    <n v="101.77"/>
    <n v="120.43"/>
    <n v="120000"/>
    <n v="10920000"/>
  </r>
  <r>
    <x v="26"/>
    <s v="2025-07"/>
    <s v="2025"/>
    <s v="07"/>
    <x v="6"/>
    <s v="American Airlines"/>
    <s v="USA"/>
    <x v="3"/>
    <x v="0"/>
    <n v="958"/>
    <n v="13459.64"/>
    <n v="1225.44"/>
    <n v="9.0999999999999998E-2"/>
    <n v="932.47"/>
    <n v="6.93E-2"/>
    <n v="9.5399999999999991"/>
    <n v="0.44600000000000001"/>
    <n v="134.94"/>
    <n v="93.24"/>
    <n v="112.22"/>
    <n v="120000"/>
    <n v="10920000"/>
  </r>
  <r>
    <x v="27"/>
    <s v="2025-10"/>
    <s v="2025"/>
    <s v="10"/>
    <x v="6"/>
    <s v="American Airlines"/>
    <s v="USA"/>
    <x v="3"/>
    <x v="0"/>
    <n v="958"/>
    <n v="12647.26"/>
    <n v="1219.44"/>
    <n v="9.64E-2"/>
    <n v="1729.27"/>
    <n v="0.13669999999999999"/>
    <n v="8.31"/>
    <n v="0.23399999999999999"/>
    <n v="68.709999999999994"/>
    <n v="99.34"/>
    <n v="111.67"/>
    <n v="120000"/>
    <n v="10920000"/>
  </r>
  <r>
    <x v="28"/>
    <s v="2026-01"/>
    <s v="2026"/>
    <s v="01"/>
    <x v="7"/>
    <s v="American Airlines"/>
    <s v="USA"/>
    <x v="3"/>
    <x v="0"/>
    <n v="958"/>
    <n v="10482.459999999999"/>
    <n v="1603.06"/>
    <n v="0.15289999999999998"/>
    <n v="-2534.69"/>
    <n v="-0.24179999999999999"/>
    <n v="7.45"/>
    <n v="0.56499999999999995"/>
    <n v="571.61"/>
    <n v="130.88"/>
    <n v="146.80000000000001"/>
    <n v="120000"/>
    <n v="10920000"/>
  </r>
  <r>
    <x v="0"/>
    <s v="2019-01"/>
    <s v="2019"/>
    <s v="01"/>
    <x v="0"/>
    <s v="United Airlines"/>
    <s v="USA"/>
    <x v="3"/>
    <x v="0"/>
    <n v="952"/>
    <n v="14326.25"/>
    <n v="780.48"/>
    <n v="5.45E-2"/>
    <n v="1040.3599999999999"/>
    <n v="7.2599999999999998E-2"/>
    <n v="9.9700000000000006"/>
    <n v="0.505"/>
    <n v="0"/>
    <n v="63"/>
    <n v="74.58"/>
    <n v="115000"/>
    <n v="10465000"/>
  </r>
  <r>
    <x v="1"/>
    <s v="2019-04"/>
    <s v="2019"/>
    <s v="04"/>
    <x v="0"/>
    <s v="United Airlines"/>
    <s v="USA"/>
    <x v="3"/>
    <x v="0"/>
    <n v="952"/>
    <n v="13195.03"/>
    <n v="767.5"/>
    <n v="5.8200000000000002E-2"/>
    <n v="1225.1199999999999"/>
    <n v="9.2799999999999994E-2"/>
    <n v="8.83"/>
    <n v="0.24600000000000002"/>
    <n v="0"/>
    <n v="64.790000000000006"/>
    <n v="73.34"/>
    <n v="115000"/>
    <n v="10465000"/>
  </r>
  <r>
    <x v="2"/>
    <s v="2019-07"/>
    <s v="2019"/>
    <s v="07"/>
    <x v="0"/>
    <s v="United Airlines"/>
    <s v="USA"/>
    <x v="3"/>
    <x v="0"/>
    <n v="952"/>
    <n v="12918.04"/>
    <n v="744.17"/>
    <n v="5.7599999999999998E-2"/>
    <n v="1042.3399999999999"/>
    <n v="8.0700000000000008E-2"/>
    <n v="8.2799999999999994"/>
    <n v="0.19600000000000001"/>
    <n v="0"/>
    <n v="60.46"/>
    <n v="71.11"/>
    <n v="115000"/>
    <n v="10465000"/>
  </r>
  <r>
    <x v="3"/>
    <s v="2019-10"/>
    <s v="2019"/>
    <s v="10"/>
    <x v="0"/>
    <s v="United Airlines"/>
    <s v="USA"/>
    <x v="3"/>
    <x v="0"/>
    <n v="952"/>
    <n v="13330.17"/>
    <n v="805.49"/>
    <n v="6.0400000000000002E-2"/>
    <n v="1107.2"/>
    <n v="8.3100000000000007E-2"/>
    <n v="9.93"/>
    <n v="0.41"/>
    <n v="0"/>
    <n v="65.66"/>
    <n v="76.97"/>
    <n v="115000"/>
    <n v="10465000"/>
  </r>
  <r>
    <x v="4"/>
    <s v="2020-01"/>
    <s v="2020"/>
    <s v="01"/>
    <x v="0"/>
    <s v="United Airlines"/>
    <s v="USA"/>
    <x v="3"/>
    <x v="0"/>
    <n v="952"/>
    <n v="14454.43"/>
    <n v="788.85"/>
    <n v="5.4600000000000003E-2"/>
    <n v="1431.93"/>
    <n v="9.9100000000000008E-2"/>
    <n v="10.55"/>
    <n v="0.54200000000000004"/>
    <n v="0"/>
    <n v="66.66"/>
    <n v="75.38"/>
    <n v="115000"/>
    <n v="10465000"/>
  </r>
  <r>
    <x v="5"/>
    <s v="2020-04"/>
    <s v="2020"/>
    <s v="04"/>
    <x v="1"/>
    <s v="United Airlines"/>
    <s v="USA"/>
    <x v="3"/>
    <x v="0"/>
    <n v="952"/>
    <n v="3997.98"/>
    <n v="247.92"/>
    <n v="6.2E-2"/>
    <n v="-1129.51"/>
    <n v="-0.28249999999999997"/>
    <n v="2.71"/>
    <n v="0.36899999999999999"/>
    <n v="0"/>
    <n v="20.57"/>
    <n v="23.69"/>
    <n v="115000"/>
    <n v="10465000"/>
  </r>
  <r>
    <x v="6"/>
    <s v="2020-07"/>
    <s v="2020"/>
    <s v="07"/>
    <x v="1"/>
    <s v="United Airlines"/>
    <s v="USA"/>
    <x v="3"/>
    <x v="0"/>
    <n v="952"/>
    <n v="2533.88"/>
    <n v="527.75"/>
    <n v="0.20829999999999999"/>
    <n v="-748.61"/>
    <n v="-0.2954"/>
    <n v="1.75"/>
    <n v="0.52300000000000002"/>
    <n v="0"/>
    <n v="44.05"/>
    <n v="50.43"/>
    <n v="115000"/>
    <n v="10465000"/>
  </r>
  <r>
    <x v="7"/>
    <s v="2020-10"/>
    <s v="2020"/>
    <s v="10"/>
    <x v="1"/>
    <s v="United Airlines"/>
    <s v="USA"/>
    <x v="3"/>
    <x v="0"/>
    <n v="952"/>
    <n v="4437.08"/>
    <n v="477.83"/>
    <n v="0.10769999999999999"/>
    <n v="-1849.38"/>
    <n v="-0.4168"/>
    <n v="3.17"/>
    <n v="0.61799999999999999"/>
    <n v="0"/>
    <n v="39.950000000000003"/>
    <n v="45.66"/>
    <n v="115000"/>
    <n v="10465000"/>
  </r>
  <r>
    <x v="8"/>
    <s v="2021-01"/>
    <s v="2021"/>
    <s v="01"/>
    <x v="1"/>
    <s v="United Airlines"/>
    <s v="USA"/>
    <x v="3"/>
    <x v="0"/>
    <n v="952"/>
    <n v="4478.26"/>
    <n v="897.58"/>
    <n v="0.20039999999999999"/>
    <n v="-1081.02"/>
    <n v="-0.2414"/>
    <n v="2.8"/>
    <n v="0.16399999999999998"/>
    <n v="0"/>
    <n v="75.489999999999995"/>
    <n v="85.77"/>
    <n v="115000"/>
    <n v="10465000"/>
  </r>
  <r>
    <x v="9"/>
    <s v="2021-04"/>
    <s v="2021"/>
    <s v="04"/>
    <x v="1"/>
    <s v="United Airlines"/>
    <s v="USA"/>
    <x v="3"/>
    <x v="0"/>
    <n v="952"/>
    <n v="2411.9"/>
    <n v="951.48"/>
    <n v="0.39450000000000002"/>
    <n v="-526.44000000000005"/>
    <n v="-0.21829999999999999"/>
    <n v="1.74"/>
    <n v="0.34600000000000003"/>
    <n v="3.37"/>
    <n v="76.83"/>
    <n v="90.92"/>
    <n v="115000"/>
    <n v="10465000"/>
  </r>
  <r>
    <x v="10"/>
    <s v="2021-07"/>
    <s v="2021"/>
    <s v="07"/>
    <x v="2"/>
    <s v="United Airlines"/>
    <s v="USA"/>
    <x v="3"/>
    <x v="0"/>
    <n v="952"/>
    <n v="11355.94"/>
    <n v="941.01"/>
    <n v="8.2899999999999988E-2"/>
    <n v="-280.33999999999997"/>
    <n v="-2.4700000000000003E-2"/>
    <n v="8.0299999999999994"/>
    <n v="0.39600000000000002"/>
    <n v="0"/>
    <n v="78.97"/>
    <n v="89.92"/>
    <n v="115000"/>
    <n v="10465000"/>
  </r>
  <r>
    <x v="11"/>
    <s v="2021-10"/>
    <s v="2021"/>
    <s v="10"/>
    <x v="2"/>
    <s v="United Airlines"/>
    <s v="USA"/>
    <x v="3"/>
    <x v="0"/>
    <n v="952"/>
    <n v="9640.3700000000008"/>
    <n v="1090.98"/>
    <n v="0.11320000000000001"/>
    <n v="126.28"/>
    <n v="1.3100000000000001E-2"/>
    <n v="6.28"/>
    <n v="0.44"/>
    <n v="76"/>
    <n v="86.82"/>
    <n v="104.25"/>
    <n v="115000"/>
    <n v="10465000"/>
  </r>
  <r>
    <x v="12"/>
    <s v="2022-01"/>
    <s v="2022"/>
    <s v="01"/>
    <x v="2"/>
    <s v="United Airlines"/>
    <s v="USA"/>
    <x v="3"/>
    <x v="0"/>
    <n v="952"/>
    <n v="9849.23"/>
    <n v="852.27"/>
    <n v="8.6500000000000007E-2"/>
    <n v="-462.31"/>
    <n v="-4.6900000000000004E-2"/>
    <n v="7.39"/>
    <n v="0.32600000000000001"/>
    <n v="0"/>
    <n v="72.010000000000005"/>
    <n v="81.44"/>
    <n v="115000"/>
    <n v="10465000"/>
  </r>
  <r>
    <x v="13"/>
    <s v="2022-04"/>
    <s v="2022"/>
    <s v="04"/>
    <x v="3"/>
    <s v="United Airlines"/>
    <s v="USA"/>
    <x v="3"/>
    <x v="0"/>
    <n v="952"/>
    <n v="13977.13"/>
    <n v="1377.51"/>
    <n v="9.8599999999999993E-2"/>
    <n v="499.74"/>
    <n v="3.5799999999999998E-2"/>
    <n v="8.9"/>
    <n v="0.58700000000000008"/>
    <n v="374.02"/>
    <n v="109.53"/>
    <n v="131.63"/>
    <n v="115000"/>
    <n v="10465000"/>
  </r>
  <r>
    <x v="14"/>
    <s v="2022-07"/>
    <s v="2022"/>
    <s v="07"/>
    <x v="3"/>
    <s v="United Airlines"/>
    <s v="USA"/>
    <x v="3"/>
    <x v="0"/>
    <n v="952"/>
    <n v="13669.15"/>
    <n v="988.84"/>
    <n v="7.2300000000000003E-2"/>
    <n v="812.88"/>
    <n v="5.9500000000000004E-2"/>
    <n v="9.44"/>
    <n v="0.154"/>
    <n v="7.6"/>
    <n v="80.69"/>
    <n v="94.49"/>
    <n v="115000"/>
    <n v="10465000"/>
  </r>
  <r>
    <x v="15"/>
    <s v="2022-10"/>
    <s v="2022"/>
    <s v="10"/>
    <x v="3"/>
    <s v="United Airlines"/>
    <s v="USA"/>
    <x v="3"/>
    <x v="0"/>
    <n v="952"/>
    <n v="14533.06"/>
    <n v="1104.69"/>
    <n v="7.5999999999999998E-2"/>
    <n v="539.75"/>
    <n v="3.7100000000000001E-2"/>
    <n v="9.31"/>
    <n v="0.60499999999999998"/>
    <n v="115.55"/>
    <n v="93.25"/>
    <n v="105.56"/>
    <n v="115000"/>
    <n v="10465000"/>
  </r>
  <r>
    <x v="16"/>
    <s v="2023-01"/>
    <s v="2023"/>
    <s v="01"/>
    <x v="4"/>
    <s v="United Airlines"/>
    <s v="USA"/>
    <x v="3"/>
    <x v="0"/>
    <n v="952"/>
    <n v="13203.28"/>
    <n v="1016.47"/>
    <n v="7.6999999999999999E-2"/>
    <n v="1666.89"/>
    <n v="0.12619999999999998"/>
    <n v="9.58"/>
    <n v="0.248"/>
    <n v="19.97"/>
    <n v="84.29"/>
    <n v="97.13"/>
    <n v="115000"/>
    <n v="10465000"/>
  </r>
  <r>
    <x v="17"/>
    <s v="2023-04"/>
    <s v="2023"/>
    <s v="04"/>
    <x v="4"/>
    <s v="United Airlines"/>
    <s v="USA"/>
    <x v="3"/>
    <x v="0"/>
    <n v="952"/>
    <n v="13197.05"/>
    <n v="1067.1199999999999"/>
    <n v="8.09E-2"/>
    <n v="1529.52"/>
    <n v="0.1159"/>
    <n v="9.26"/>
    <n v="0.16500000000000001"/>
    <n v="23.42"/>
    <n v="88.18"/>
    <n v="101.97"/>
    <n v="115000"/>
    <n v="10465000"/>
  </r>
  <r>
    <x v="18"/>
    <s v="2023-07"/>
    <s v="2023"/>
    <s v="07"/>
    <x v="4"/>
    <s v="United Airlines"/>
    <s v="USA"/>
    <x v="3"/>
    <x v="0"/>
    <n v="952"/>
    <n v="14308.56"/>
    <n v="1020.55"/>
    <n v="7.1300000000000002E-2"/>
    <n v="1603.96"/>
    <n v="0.11210000000000001"/>
    <n v="10.65"/>
    <n v="0.28399999999999997"/>
    <n v="24.22"/>
    <n v="85.16"/>
    <n v="97.52"/>
    <n v="115000"/>
    <n v="10465000"/>
  </r>
  <r>
    <x v="19"/>
    <s v="2023-10"/>
    <s v="2023"/>
    <s v="10"/>
    <x v="5"/>
    <s v="United Airlines"/>
    <s v="USA"/>
    <x v="3"/>
    <x v="0"/>
    <n v="952"/>
    <n v="12977.49"/>
    <n v="941.43"/>
    <n v="7.2499999999999995E-2"/>
    <n v="1718.32"/>
    <n v="0.13239999999999999"/>
    <n v="9.11"/>
    <n v="0.39399999999999996"/>
    <n v="0"/>
    <n v="78.33"/>
    <n v="89.96"/>
    <n v="115000"/>
    <n v="10465000"/>
  </r>
  <r>
    <x v="20"/>
    <s v="2024-01"/>
    <s v="2024"/>
    <s v="01"/>
    <x v="5"/>
    <s v="United Airlines"/>
    <s v="USA"/>
    <x v="3"/>
    <x v="0"/>
    <n v="952"/>
    <n v="13773.44"/>
    <n v="1036.24"/>
    <n v="7.5199999999999989E-2"/>
    <n v="1201.5899999999999"/>
    <n v="8.72E-2"/>
    <n v="9.01"/>
    <n v="0.39799999999999996"/>
    <n v="41.33"/>
    <n v="84.61"/>
    <n v="99.02"/>
    <n v="115000"/>
    <n v="10465000"/>
  </r>
  <r>
    <x v="21"/>
    <s v="2024-04"/>
    <s v="2024"/>
    <s v="04"/>
    <x v="5"/>
    <s v="United Airlines"/>
    <s v="USA"/>
    <x v="3"/>
    <x v="0"/>
    <n v="952"/>
    <n v="14007.89"/>
    <n v="1065.1300000000001"/>
    <n v="7.5999999999999998E-2"/>
    <n v="1844.2"/>
    <n v="0.13170000000000001"/>
    <n v="8.81"/>
    <n v="0.16600000000000001"/>
    <n v="23.14"/>
    <n v="84.06"/>
    <n v="101.78"/>
    <n v="115000"/>
    <n v="10465000"/>
  </r>
  <r>
    <x v="22"/>
    <s v="2024-07"/>
    <s v="2024"/>
    <s v="07"/>
    <x v="5"/>
    <s v="United Airlines"/>
    <s v="USA"/>
    <x v="3"/>
    <x v="0"/>
    <n v="952"/>
    <n v="14109.26"/>
    <n v="983.5"/>
    <n v="6.9699999999999998E-2"/>
    <n v="1658.05"/>
    <n v="0.11749999999999999"/>
    <n v="9.15"/>
    <n v="0.12"/>
    <n v="5.22"/>
    <n v="80.400000000000006"/>
    <n v="93.98"/>
    <n v="115000"/>
    <n v="10465000"/>
  </r>
  <r>
    <x v="23"/>
    <s v="2024-10"/>
    <s v="2024"/>
    <s v="10"/>
    <x v="5"/>
    <s v="United Airlines"/>
    <s v="USA"/>
    <x v="3"/>
    <x v="0"/>
    <n v="952"/>
    <n v="13394.5"/>
    <n v="1177.52"/>
    <n v="8.7899999999999992E-2"/>
    <n v="620.04999999999995"/>
    <n v="4.6300000000000001E-2"/>
    <n v="9.64"/>
    <n v="0.435"/>
    <n v="128.16999999999999"/>
    <n v="94.78"/>
    <n v="112.52"/>
    <n v="115000"/>
    <n v="10465000"/>
  </r>
  <r>
    <x v="24"/>
    <s v="2025-01"/>
    <s v="2025"/>
    <s v="01"/>
    <x v="6"/>
    <s v="United Airlines"/>
    <s v="USA"/>
    <x v="3"/>
    <x v="0"/>
    <n v="952"/>
    <n v="14252.44"/>
    <n v="1062.6199999999999"/>
    <n v="7.46E-2"/>
    <n v="1183.02"/>
    <n v="8.3000000000000004E-2"/>
    <n v="10.07"/>
    <n v="0.62"/>
    <n v="84.48"/>
    <n v="85.13"/>
    <n v="101.54"/>
    <n v="115000"/>
    <n v="10465000"/>
  </r>
  <r>
    <x v="25"/>
    <s v="2025-04"/>
    <s v="2025"/>
    <s v="04"/>
    <x v="6"/>
    <s v="United Airlines"/>
    <s v="USA"/>
    <x v="3"/>
    <x v="0"/>
    <n v="952"/>
    <n v="14427.1"/>
    <n v="1260.3"/>
    <n v="8.7400000000000005E-2"/>
    <n v="679.63"/>
    <n v="4.7100000000000003E-2"/>
    <n v="8.94"/>
    <n v="0.624"/>
    <n v="265.89999999999998"/>
    <n v="101.77"/>
    <n v="120.43"/>
    <n v="115000"/>
    <n v="10465000"/>
  </r>
  <r>
    <x v="26"/>
    <s v="2025-07"/>
    <s v="2025"/>
    <s v="07"/>
    <x v="6"/>
    <s v="United Airlines"/>
    <s v="USA"/>
    <x v="3"/>
    <x v="0"/>
    <n v="952"/>
    <n v="13688.01"/>
    <n v="1174.3800000000001"/>
    <n v="8.5800000000000001E-2"/>
    <n v="1506.23"/>
    <n v="0.11"/>
    <n v="10.19"/>
    <n v="0.28199999999999997"/>
    <n v="81.760000000000005"/>
    <n v="93.24"/>
    <n v="112.22"/>
    <n v="115000"/>
    <n v="10465000"/>
  </r>
  <r>
    <x v="27"/>
    <s v="2025-10"/>
    <s v="2025"/>
    <s v="10"/>
    <x v="6"/>
    <s v="United Airlines"/>
    <s v="USA"/>
    <x v="3"/>
    <x v="0"/>
    <n v="952"/>
    <n v="13522.8"/>
    <n v="1168.6300000000001"/>
    <n v="8.6400000000000005E-2"/>
    <n v="766.72"/>
    <n v="5.67E-2"/>
    <n v="10.06"/>
    <n v="0.42100000000000004"/>
    <n v="118.46"/>
    <n v="99.34"/>
    <n v="111.67"/>
    <n v="115000"/>
    <n v="10465000"/>
  </r>
  <r>
    <x v="28"/>
    <s v="2026-01"/>
    <s v="2026"/>
    <s v="01"/>
    <x v="7"/>
    <s v="United Airlines"/>
    <s v="USA"/>
    <x v="3"/>
    <x v="0"/>
    <n v="952"/>
    <n v="9881.52"/>
    <n v="1536.26"/>
    <n v="0.1555"/>
    <n v="-1364.06"/>
    <n v="-0.13800000000000001"/>
    <n v="6.56"/>
    <n v="9.6000000000000002E-2"/>
    <n v="93.08"/>
    <n v="130.88"/>
    <n v="146.80000000000001"/>
    <n v="115000"/>
    <n v="10465000"/>
  </r>
  <r>
    <x v="0"/>
    <s v="2019-01"/>
    <s v="2019"/>
    <s v="01"/>
    <x v="0"/>
    <s v="Delta Air Lines"/>
    <s v="USA"/>
    <x v="3"/>
    <x v="0"/>
    <n v="997"/>
    <n v="14117.82"/>
    <n v="848.35"/>
    <n v="6.0100000000000001E-2"/>
    <n v="1354.26"/>
    <n v="9.5899999999999999E-2"/>
    <n v="9.5399999999999991"/>
    <n v="0.51300000000000001"/>
    <n v="0"/>
    <n v="63"/>
    <n v="74.58"/>
    <n v="125000"/>
    <n v="11375000"/>
  </r>
  <r>
    <x v="1"/>
    <s v="2019-04"/>
    <s v="2019"/>
    <s v="04"/>
    <x v="0"/>
    <s v="Delta Air Lines"/>
    <s v="USA"/>
    <x v="3"/>
    <x v="0"/>
    <n v="997"/>
    <n v="14242.45"/>
    <n v="834.24"/>
    <n v="5.8600000000000006E-2"/>
    <n v="1874.07"/>
    <n v="0.13159999999999999"/>
    <n v="9.5399999999999991"/>
    <n v="0.13300000000000001"/>
    <n v="0"/>
    <n v="64.790000000000006"/>
    <n v="73.34"/>
    <n v="125000"/>
    <n v="11375000"/>
  </r>
  <r>
    <x v="2"/>
    <s v="2019-07"/>
    <s v="2019"/>
    <s v="07"/>
    <x v="0"/>
    <s v="Delta Air Lines"/>
    <s v="USA"/>
    <x v="3"/>
    <x v="0"/>
    <n v="997"/>
    <n v="14554.03"/>
    <n v="808.88"/>
    <n v="5.5599999999999997E-2"/>
    <n v="1926.02"/>
    <n v="0.1323"/>
    <n v="9.67"/>
    <n v="0.56899999999999995"/>
    <n v="0"/>
    <n v="60.46"/>
    <n v="71.11"/>
    <n v="125000"/>
    <n v="11375000"/>
  </r>
  <r>
    <x v="3"/>
    <s v="2019-10"/>
    <s v="2019"/>
    <s v="10"/>
    <x v="0"/>
    <s v="Delta Air Lines"/>
    <s v="USA"/>
    <x v="3"/>
    <x v="0"/>
    <n v="997"/>
    <n v="14076.28"/>
    <n v="875.53"/>
    <n v="6.2199999999999998E-2"/>
    <n v="1849.57"/>
    <n v="0.13140000000000002"/>
    <n v="9.26"/>
    <n v="0.60799999999999998"/>
    <n v="0"/>
    <n v="65.66"/>
    <n v="76.97"/>
    <n v="125000"/>
    <n v="11375000"/>
  </r>
  <r>
    <x v="4"/>
    <s v="2020-01"/>
    <s v="2020"/>
    <s v="01"/>
    <x v="0"/>
    <s v="Delta Air Lines"/>
    <s v="USA"/>
    <x v="3"/>
    <x v="0"/>
    <n v="997"/>
    <n v="15407.56"/>
    <n v="857.45"/>
    <n v="5.57E-2"/>
    <n v="1633.15"/>
    <n v="0.106"/>
    <n v="10.63"/>
    <n v="0.13699999999999998"/>
    <n v="0"/>
    <n v="66.66"/>
    <n v="75.38"/>
    <n v="125000"/>
    <n v="11375000"/>
  </r>
  <r>
    <x v="5"/>
    <s v="2020-04"/>
    <s v="2020"/>
    <s v="04"/>
    <x v="1"/>
    <s v="Delta Air Lines"/>
    <s v="USA"/>
    <x v="3"/>
    <x v="0"/>
    <n v="997"/>
    <n v="3923.21"/>
    <n v="269.47000000000003"/>
    <n v="6.8699999999999997E-2"/>
    <n v="-1226.5"/>
    <n v="-0.31259999999999999"/>
    <n v="2.5299999999999998"/>
    <n v="0.32899999999999996"/>
    <n v="0"/>
    <n v="20.57"/>
    <n v="23.69"/>
    <n v="125000"/>
    <n v="11375000"/>
  </r>
  <r>
    <x v="6"/>
    <s v="2020-07"/>
    <s v="2020"/>
    <s v="07"/>
    <x v="1"/>
    <s v="Delta Air Lines"/>
    <s v="USA"/>
    <x v="3"/>
    <x v="0"/>
    <n v="997"/>
    <n v="4869.5200000000004"/>
    <n v="573.64"/>
    <n v="0.11779999999999999"/>
    <n v="-2184.8200000000002"/>
    <n v="-0.44869999999999999"/>
    <n v="3.19"/>
    <n v="0.217"/>
    <n v="0"/>
    <n v="44.05"/>
    <n v="50.43"/>
    <n v="125000"/>
    <n v="11375000"/>
  </r>
  <r>
    <x v="7"/>
    <s v="2020-10"/>
    <s v="2020"/>
    <s v="10"/>
    <x v="1"/>
    <s v="Delta Air Lines"/>
    <s v="USA"/>
    <x v="3"/>
    <x v="0"/>
    <n v="997"/>
    <n v="4962.57"/>
    <n v="519.38"/>
    <n v="0.1047"/>
    <n v="-1024.9000000000001"/>
    <n v="-0.20649999999999999"/>
    <n v="3.37"/>
    <n v="0.35799999999999998"/>
    <n v="0"/>
    <n v="39.950000000000003"/>
    <n v="45.66"/>
    <n v="125000"/>
    <n v="11375000"/>
  </r>
  <r>
    <x v="8"/>
    <s v="2021-01"/>
    <s v="2021"/>
    <s v="01"/>
    <x v="1"/>
    <s v="Delta Air Lines"/>
    <s v="USA"/>
    <x v="3"/>
    <x v="0"/>
    <n v="997"/>
    <n v="4794.32"/>
    <n v="975.63"/>
    <n v="0.20350000000000001"/>
    <n v="-2149.6"/>
    <n v="-0.44840000000000002"/>
    <n v="3.24"/>
    <n v="1.6E-2"/>
    <n v="0"/>
    <n v="75.489999999999995"/>
    <n v="85.77"/>
    <n v="125000"/>
    <n v="11375000"/>
  </r>
  <r>
    <x v="9"/>
    <s v="2021-04"/>
    <s v="2021"/>
    <s v="04"/>
    <x v="1"/>
    <s v="Delta Air Lines"/>
    <s v="USA"/>
    <x v="3"/>
    <x v="0"/>
    <n v="997"/>
    <n v="4982.67"/>
    <n v="1034.21"/>
    <n v="0.20760000000000001"/>
    <n v="-1843.39"/>
    <n v="-0.37"/>
    <n v="3.34"/>
    <n v="0.27100000000000002"/>
    <n v="2.87"/>
    <n v="76.83"/>
    <n v="90.92"/>
    <n v="125000"/>
    <n v="11375000"/>
  </r>
  <r>
    <x v="10"/>
    <s v="2021-07"/>
    <s v="2021"/>
    <s v="07"/>
    <x v="2"/>
    <s v="Delta Air Lines"/>
    <s v="USA"/>
    <x v="3"/>
    <x v="0"/>
    <n v="997"/>
    <n v="12016.51"/>
    <n v="1022.84"/>
    <n v="8.5099999999999995E-2"/>
    <n v="961.04"/>
    <n v="0.08"/>
    <n v="7.32"/>
    <n v="0.47600000000000003"/>
    <n v="0"/>
    <n v="78.97"/>
    <n v="89.92"/>
    <n v="125000"/>
    <n v="11375000"/>
  </r>
  <r>
    <x v="11"/>
    <s v="2021-10"/>
    <s v="2021"/>
    <s v="10"/>
    <x v="2"/>
    <s v="Delta Air Lines"/>
    <s v="USA"/>
    <x v="3"/>
    <x v="0"/>
    <n v="997"/>
    <n v="10492.2"/>
    <n v="1185.8399999999999"/>
    <n v="0.113"/>
    <n v="-334.92"/>
    <n v="-3.1899999999999998E-2"/>
    <n v="6.87"/>
    <n v="0.64900000000000002"/>
    <n v="121.86"/>
    <n v="86.82"/>
    <n v="104.25"/>
    <n v="125000"/>
    <n v="11375000"/>
  </r>
  <r>
    <x v="12"/>
    <s v="2022-01"/>
    <s v="2022"/>
    <s v="01"/>
    <x v="2"/>
    <s v="Delta Air Lines"/>
    <s v="USA"/>
    <x v="3"/>
    <x v="0"/>
    <n v="997"/>
    <n v="10461.950000000001"/>
    <n v="926.38"/>
    <n v="8.8499999999999995E-2"/>
    <n v="-145.82"/>
    <n v="-1.3899999999999999E-2"/>
    <n v="7.46"/>
    <n v="0.56399999999999995"/>
    <n v="0"/>
    <n v="72.010000000000005"/>
    <n v="81.44"/>
    <n v="125000"/>
    <n v="11375000"/>
  </r>
  <r>
    <x v="13"/>
    <s v="2022-04"/>
    <s v="2022"/>
    <s v="04"/>
    <x v="3"/>
    <s v="Delta Air Lines"/>
    <s v="USA"/>
    <x v="3"/>
    <x v="0"/>
    <n v="997"/>
    <n v="14032.72"/>
    <n v="1497.29"/>
    <n v="0.1067"/>
    <n v="615.95000000000005"/>
    <n v="4.3899999999999995E-2"/>
    <n v="9.64"/>
    <n v="0.13300000000000001"/>
    <n v="92.11"/>
    <n v="109.53"/>
    <n v="131.63"/>
    <n v="125000"/>
    <n v="11375000"/>
  </r>
  <r>
    <x v="14"/>
    <s v="2022-07"/>
    <s v="2022"/>
    <s v="07"/>
    <x v="3"/>
    <s v="Delta Air Lines"/>
    <s v="USA"/>
    <x v="3"/>
    <x v="0"/>
    <n v="997"/>
    <n v="14452.69"/>
    <n v="1074.82"/>
    <n v="7.4400000000000008E-2"/>
    <n v="452.48"/>
    <n v="3.1300000000000001E-2"/>
    <n v="9.26"/>
    <n v="0.193"/>
    <n v="10.35"/>
    <n v="80.69"/>
    <n v="94.49"/>
    <n v="125000"/>
    <n v="11375000"/>
  </r>
  <r>
    <x v="15"/>
    <s v="2022-10"/>
    <s v="2022"/>
    <s v="10"/>
    <x v="3"/>
    <s v="Delta Air Lines"/>
    <s v="USA"/>
    <x v="3"/>
    <x v="0"/>
    <n v="997"/>
    <n v="15065.21"/>
    <n v="1200.74"/>
    <n v="7.9699999999999993E-2"/>
    <n v="641.5"/>
    <n v="4.2599999999999999E-2"/>
    <n v="10.85"/>
    <n v="0.63900000000000001"/>
    <n v="132.65"/>
    <n v="93.25"/>
    <n v="105.56"/>
    <n v="125000"/>
    <n v="11375000"/>
  </r>
  <r>
    <x v="16"/>
    <s v="2023-01"/>
    <s v="2023"/>
    <s v="01"/>
    <x v="4"/>
    <s v="Delta Air Lines"/>
    <s v="USA"/>
    <x v="3"/>
    <x v="0"/>
    <n v="997"/>
    <n v="13927.8"/>
    <n v="1104.8499999999999"/>
    <n v="7.9299999999999995E-2"/>
    <n v="1110.95"/>
    <n v="7.980000000000001E-2"/>
    <n v="8.92"/>
    <n v="0.22899999999999998"/>
    <n v="20.04"/>
    <n v="84.29"/>
    <n v="97.13"/>
    <n v="125000"/>
    <n v="11375000"/>
  </r>
  <r>
    <x v="17"/>
    <s v="2023-04"/>
    <s v="2023"/>
    <s v="04"/>
    <x v="4"/>
    <s v="Delta Air Lines"/>
    <s v="USA"/>
    <x v="3"/>
    <x v="0"/>
    <n v="997"/>
    <n v="14275.19"/>
    <n v="1159.9100000000001"/>
    <n v="8.1300000000000011E-2"/>
    <n v="1117.27"/>
    <n v="7.8299999999999995E-2"/>
    <n v="8.84"/>
    <n v="0.182"/>
    <n v="28.08"/>
    <n v="88.18"/>
    <n v="101.97"/>
    <n v="125000"/>
    <n v="11375000"/>
  </r>
  <r>
    <x v="18"/>
    <s v="2023-07"/>
    <s v="2023"/>
    <s v="07"/>
    <x v="4"/>
    <s v="Delta Air Lines"/>
    <s v="USA"/>
    <x v="3"/>
    <x v="0"/>
    <n v="997"/>
    <n v="15184.64"/>
    <n v="1109.29"/>
    <n v="7.3099999999999998E-2"/>
    <n v="1129.81"/>
    <n v="7.4400000000000008E-2"/>
    <n v="9.5399999999999991"/>
    <n v="7.0000000000000007E-2"/>
    <n v="6.49"/>
    <n v="85.16"/>
    <n v="97.52"/>
    <n v="125000"/>
    <n v="11375000"/>
  </r>
  <r>
    <x v="19"/>
    <s v="2023-10"/>
    <s v="2023"/>
    <s v="10"/>
    <x v="5"/>
    <s v="Delta Air Lines"/>
    <s v="USA"/>
    <x v="3"/>
    <x v="0"/>
    <n v="997"/>
    <n v="14430.99"/>
    <n v="1023.29"/>
    <n v="7.0900000000000005E-2"/>
    <n v="1505.74"/>
    <n v="0.1043"/>
    <n v="9.15"/>
    <n v="0.27500000000000002"/>
    <n v="0"/>
    <n v="78.33"/>
    <n v="89.96"/>
    <n v="125000"/>
    <n v="11375000"/>
  </r>
  <r>
    <x v="20"/>
    <s v="2024-01"/>
    <s v="2024"/>
    <s v="01"/>
    <x v="5"/>
    <s v="Delta Air Lines"/>
    <s v="USA"/>
    <x v="3"/>
    <x v="0"/>
    <n v="997"/>
    <n v="15570.27"/>
    <n v="1126.3499999999999"/>
    <n v="7.2300000000000003E-2"/>
    <n v="1482.85"/>
    <n v="9.5199999999999993E-2"/>
    <n v="10.45"/>
    <n v="0.26600000000000001"/>
    <n v="30.03"/>
    <n v="84.61"/>
    <n v="99.02"/>
    <n v="125000"/>
    <n v="11375000"/>
  </r>
  <r>
    <x v="21"/>
    <s v="2024-04"/>
    <s v="2024"/>
    <s v="04"/>
    <x v="5"/>
    <s v="Delta Air Lines"/>
    <s v="USA"/>
    <x v="3"/>
    <x v="0"/>
    <n v="997"/>
    <n v="14824.64"/>
    <n v="1157.75"/>
    <n v="7.8100000000000003E-2"/>
    <n v="2052.5700000000002"/>
    <n v="0.13849999999999998"/>
    <n v="9.4"/>
    <n v="0.61199999999999999"/>
    <n v="92.74"/>
    <n v="84.06"/>
    <n v="101.78"/>
    <n v="125000"/>
    <n v="11375000"/>
  </r>
  <r>
    <x v="22"/>
    <s v="2024-07"/>
    <s v="2024"/>
    <s v="07"/>
    <x v="5"/>
    <s v="Delta Air Lines"/>
    <s v="USA"/>
    <x v="3"/>
    <x v="0"/>
    <n v="997"/>
    <n v="14056"/>
    <n v="1069.02"/>
    <n v="7.6100000000000001E-2"/>
    <n v="718.41"/>
    <n v="5.1100000000000007E-2"/>
    <n v="9.67"/>
    <n v="0.16300000000000001"/>
    <n v="7.71"/>
    <n v="80.400000000000006"/>
    <n v="93.98"/>
    <n v="125000"/>
    <n v="11375000"/>
  </r>
  <r>
    <x v="23"/>
    <s v="2024-10"/>
    <s v="2024"/>
    <s v="10"/>
    <x v="5"/>
    <s v="Delta Air Lines"/>
    <s v="USA"/>
    <x v="3"/>
    <x v="0"/>
    <n v="997"/>
    <n v="14612.68"/>
    <n v="1279.9100000000001"/>
    <n v="8.7599999999999997E-2"/>
    <n v="1650.73"/>
    <n v="0.113"/>
    <n v="9.81"/>
    <n v="9.0000000000000011E-3"/>
    <n v="2.88"/>
    <n v="94.78"/>
    <n v="112.52"/>
    <n v="125000"/>
    <n v="11375000"/>
  </r>
  <r>
    <x v="24"/>
    <s v="2025-01"/>
    <s v="2025"/>
    <s v="01"/>
    <x v="6"/>
    <s v="Delta Air Lines"/>
    <s v="USA"/>
    <x v="3"/>
    <x v="0"/>
    <n v="997"/>
    <n v="14351.51"/>
    <n v="1155.02"/>
    <n v="8.0500000000000002E-2"/>
    <n v="666.9"/>
    <n v="4.6500000000000007E-2"/>
    <n v="10.39"/>
    <n v="0.51700000000000002"/>
    <n v="76.569999999999993"/>
    <n v="85.13"/>
    <n v="101.54"/>
    <n v="125000"/>
    <n v="11375000"/>
  </r>
  <r>
    <x v="25"/>
    <s v="2025-04"/>
    <s v="2025"/>
    <s v="04"/>
    <x v="6"/>
    <s v="Delta Air Lines"/>
    <s v="USA"/>
    <x v="3"/>
    <x v="0"/>
    <n v="997"/>
    <n v="15629.54"/>
    <n v="1369.89"/>
    <n v="8.7599999999999997E-2"/>
    <n v="2008.57"/>
    <n v="0.1285"/>
    <n v="10.37"/>
    <n v="0.57399999999999995"/>
    <n v="265.86"/>
    <n v="101.77"/>
    <n v="120.43"/>
    <n v="125000"/>
    <n v="11375000"/>
  </r>
  <r>
    <x v="26"/>
    <s v="2025-07"/>
    <s v="2025"/>
    <s v="07"/>
    <x v="6"/>
    <s v="Delta Air Lines"/>
    <s v="USA"/>
    <x v="3"/>
    <x v="0"/>
    <n v="997"/>
    <n v="15042.55"/>
    <n v="1276.5"/>
    <n v="8.4900000000000003E-2"/>
    <n v="1390.83"/>
    <n v="9.2499999999999999E-2"/>
    <n v="9.77"/>
    <n v="0.44299999999999995"/>
    <n v="139.61000000000001"/>
    <n v="93.24"/>
    <n v="112.22"/>
    <n v="125000"/>
    <n v="11375000"/>
  </r>
  <r>
    <x v="27"/>
    <s v="2025-10"/>
    <s v="2025"/>
    <s v="10"/>
    <x v="6"/>
    <s v="Delta Air Lines"/>
    <s v="USA"/>
    <x v="3"/>
    <x v="0"/>
    <n v="997"/>
    <n v="14887.4"/>
    <n v="1270.25"/>
    <n v="8.5299999999999987E-2"/>
    <n v="1509.86"/>
    <n v="0.1014"/>
    <n v="9.73"/>
    <n v="0.48100000000000004"/>
    <n v="147.11000000000001"/>
    <n v="99.34"/>
    <n v="111.67"/>
    <n v="125000"/>
    <n v="11375000"/>
  </r>
  <r>
    <x v="28"/>
    <s v="2026-01"/>
    <s v="2026"/>
    <s v="01"/>
    <x v="7"/>
    <s v="Delta Air Lines"/>
    <s v="USA"/>
    <x v="3"/>
    <x v="0"/>
    <n v="997"/>
    <n v="10385.89"/>
    <n v="1669.85"/>
    <n v="0.16079999999999997"/>
    <n v="-1088.1099999999999"/>
    <n v="-0.1048"/>
    <n v="7.25"/>
    <n v="0.33500000000000002"/>
    <n v="353.04"/>
    <n v="130.88"/>
    <n v="146.80000000000001"/>
    <n v="125000"/>
    <n v="11375000"/>
  </r>
  <r>
    <x v="0"/>
    <s v="2019-01"/>
    <s v="2019"/>
    <s v="01"/>
    <x v="0"/>
    <s v="Ethiopian Airlines"/>
    <s v="Ethiopia"/>
    <x v="4"/>
    <x v="0"/>
    <n v="138"/>
    <n v="1230.28"/>
    <n v="149.31"/>
    <n v="0.12140000000000001"/>
    <n v="113.1"/>
    <n v="9.1899999999999996E-2"/>
    <n v="1.22"/>
    <n v="0.185"/>
    <n v="0"/>
    <n v="63"/>
    <n v="74.58"/>
    <n v="22000"/>
    <n v="2002000"/>
  </r>
  <r>
    <x v="1"/>
    <s v="2019-04"/>
    <s v="2019"/>
    <s v="04"/>
    <x v="0"/>
    <s v="Ethiopian Airlines"/>
    <s v="Ethiopia"/>
    <x v="4"/>
    <x v="0"/>
    <n v="138"/>
    <n v="1255.96"/>
    <n v="146.83000000000001"/>
    <n v="0.11689999999999999"/>
    <n v="134.79"/>
    <n v="0.10730000000000001"/>
    <n v="1.26"/>
    <n v="0.10300000000000001"/>
    <n v="0"/>
    <n v="64.790000000000006"/>
    <n v="73.34"/>
    <n v="22000"/>
    <n v="2002000"/>
  </r>
  <r>
    <x v="2"/>
    <s v="2019-07"/>
    <s v="2019"/>
    <s v="07"/>
    <x v="0"/>
    <s v="Ethiopian Airlines"/>
    <s v="Ethiopia"/>
    <x v="4"/>
    <x v="0"/>
    <n v="138"/>
    <n v="1286.27"/>
    <n v="142.36000000000001"/>
    <n v="0.11070000000000001"/>
    <n v="138.86000000000001"/>
    <n v="0.10800000000000001"/>
    <n v="1.26"/>
    <n v="2.2000000000000002E-2"/>
    <n v="0"/>
    <n v="60.46"/>
    <n v="71.11"/>
    <n v="22000"/>
    <n v="2002000"/>
  </r>
  <r>
    <x v="3"/>
    <s v="2019-10"/>
    <s v="2019"/>
    <s v="10"/>
    <x v="0"/>
    <s v="Ethiopian Airlines"/>
    <s v="Ethiopia"/>
    <x v="4"/>
    <x v="0"/>
    <n v="138"/>
    <n v="1211.4100000000001"/>
    <n v="154.09"/>
    <n v="0.12720000000000001"/>
    <n v="157.61000000000001"/>
    <n v="0.13009999999999999"/>
    <n v="1.34"/>
    <n v="0.59899999999999998"/>
    <n v="0"/>
    <n v="65.66"/>
    <n v="76.97"/>
    <n v="22000"/>
    <n v="2002000"/>
  </r>
  <r>
    <x v="4"/>
    <s v="2020-01"/>
    <s v="2020"/>
    <s v="01"/>
    <x v="0"/>
    <s v="Ethiopian Airlines"/>
    <s v="Ethiopia"/>
    <x v="4"/>
    <x v="0"/>
    <n v="138"/>
    <n v="1295.52"/>
    <n v="150.91"/>
    <n v="0.11650000000000001"/>
    <n v="176.87"/>
    <n v="0.13650000000000001"/>
    <n v="1.37"/>
    <n v="0.38900000000000001"/>
    <n v="0"/>
    <n v="66.66"/>
    <n v="75.38"/>
    <n v="22000"/>
    <n v="2002000"/>
  </r>
  <r>
    <x v="5"/>
    <s v="2020-04"/>
    <s v="2020"/>
    <s v="04"/>
    <x v="1"/>
    <s v="Ethiopian Airlines"/>
    <s v="Ethiopia"/>
    <x v="4"/>
    <x v="0"/>
    <n v="138"/>
    <n v="337.8"/>
    <n v="47.43"/>
    <n v="0.1404"/>
    <n v="-151.74"/>
    <n v="-0.44920000000000004"/>
    <n v="0.33"/>
    <n v="9.4E-2"/>
    <n v="0"/>
    <n v="20.57"/>
    <n v="23.69"/>
    <n v="22000"/>
    <n v="2002000"/>
  </r>
  <r>
    <x v="6"/>
    <s v="2020-07"/>
    <s v="2020"/>
    <s v="07"/>
    <x v="1"/>
    <s v="Ethiopian Airlines"/>
    <s v="Ethiopia"/>
    <x v="4"/>
    <x v="0"/>
    <n v="138"/>
    <n v="315.27999999999997"/>
    <n v="100.96"/>
    <n v="0.32020000000000004"/>
    <n v="-107.94"/>
    <n v="-0.34240000000000004"/>
    <n v="0.34"/>
    <n v="0.52"/>
    <n v="0"/>
    <n v="44.05"/>
    <n v="50.43"/>
    <n v="22000"/>
    <n v="2002000"/>
  </r>
  <r>
    <x v="7"/>
    <s v="2020-10"/>
    <s v="2020"/>
    <s v="10"/>
    <x v="1"/>
    <s v="Ethiopian Airlines"/>
    <s v="Ethiopia"/>
    <x v="4"/>
    <x v="0"/>
    <n v="138"/>
    <n v="393.06"/>
    <n v="91.41"/>
    <n v="0.23260000000000003"/>
    <n v="-80.87"/>
    <n v="-0.20569999999999999"/>
    <n v="0.43"/>
    <n v="0.22600000000000001"/>
    <n v="0"/>
    <n v="39.950000000000003"/>
    <n v="45.66"/>
    <n v="22000"/>
    <n v="2002000"/>
  </r>
  <r>
    <x v="8"/>
    <s v="2021-01"/>
    <s v="2021"/>
    <s v="01"/>
    <x v="1"/>
    <s v="Ethiopian Airlines"/>
    <s v="Ethiopia"/>
    <x v="4"/>
    <x v="0"/>
    <n v="138"/>
    <n v="264.51"/>
    <n v="171.71"/>
    <n v="0.6492"/>
    <n v="-96.5"/>
    <n v="-0.36479999999999996"/>
    <n v="0.27"/>
    <n v="0.255"/>
    <n v="0"/>
    <n v="75.489999999999995"/>
    <n v="85.77"/>
    <n v="22000"/>
    <n v="2002000"/>
  </r>
  <r>
    <x v="9"/>
    <s v="2021-04"/>
    <s v="2021"/>
    <s v="04"/>
    <x v="1"/>
    <s v="Ethiopian Airlines"/>
    <s v="Ethiopia"/>
    <x v="4"/>
    <x v="0"/>
    <n v="138"/>
    <n v="206.22"/>
    <n v="182.02"/>
    <n v="0.88269999999999993"/>
    <n v="-60.14"/>
    <n v="-0.29160000000000003"/>
    <n v="0.22"/>
    <n v="0.3"/>
    <n v="0.56000000000000005"/>
    <n v="76.83"/>
    <n v="90.92"/>
    <n v="22000"/>
    <n v="2002000"/>
  </r>
  <r>
    <x v="10"/>
    <s v="2021-07"/>
    <s v="2021"/>
    <s v="07"/>
    <x v="2"/>
    <s v="Ethiopian Airlines"/>
    <s v="Ethiopia"/>
    <x v="4"/>
    <x v="0"/>
    <n v="138"/>
    <n v="832.78"/>
    <n v="180.02"/>
    <n v="0.2162"/>
    <n v="-31.55"/>
    <n v="-3.7900000000000003E-2"/>
    <n v="0.9"/>
    <n v="2.4E-2"/>
    <n v="0"/>
    <n v="78.97"/>
    <n v="89.92"/>
    <n v="22000"/>
    <n v="2002000"/>
  </r>
  <r>
    <x v="11"/>
    <s v="2021-10"/>
    <s v="2021"/>
    <s v="10"/>
    <x v="2"/>
    <s v="Ethiopian Airlines"/>
    <s v="Ethiopia"/>
    <x v="4"/>
    <x v="0"/>
    <n v="138"/>
    <n v="993.7"/>
    <n v="208.71"/>
    <n v="0.21"/>
    <n v="78.69"/>
    <n v="7.9199999999999993E-2"/>
    <n v="1.08"/>
    <n v="0.47"/>
    <n v="15.53"/>
    <n v="86.82"/>
    <n v="104.25"/>
    <n v="22000"/>
    <n v="2002000"/>
  </r>
  <r>
    <x v="12"/>
    <s v="2022-01"/>
    <s v="2022"/>
    <s v="01"/>
    <x v="2"/>
    <s v="Ethiopian Airlines"/>
    <s v="Ethiopia"/>
    <x v="4"/>
    <x v="0"/>
    <n v="138"/>
    <n v="922.23"/>
    <n v="163.04"/>
    <n v="0.17679999999999998"/>
    <n v="33.9"/>
    <n v="3.6799999999999999E-2"/>
    <n v="1.02"/>
    <n v="0.53600000000000003"/>
    <n v="0"/>
    <n v="72.010000000000005"/>
    <n v="81.44"/>
    <n v="22000"/>
    <n v="2002000"/>
  </r>
  <r>
    <x v="13"/>
    <s v="2022-04"/>
    <s v="2022"/>
    <s v="04"/>
    <x v="3"/>
    <s v="Ethiopian Airlines"/>
    <s v="Ethiopia"/>
    <x v="4"/>
    <x v="0"/>
    <n v="138"/>
    <n v="1302.83"/>
    <n v="263.52"/>
    <n v="0.20230000000000001"/>
    <n v="104.13"/>
    <n v="7.9899999999999999E-2"/>
    <n v="1.41"/>
    <n v="0.315"/>
    <n v="38.4"/>
    <n v="109.53"/>
    <n v="131.63"/>
    <n v="22000"/>
    <n v="2002000"/>
  </r>
  <r>
    <x v="14"/>
    <s v="2022-07"/>
    <s v="2022"/>
    <s v="07"/>
    <x v="3"/>
    <s v="Ethiopian Airlines"/>
    <s v="Ethiopia"/>
    <x v="4"/>
    <x v="0"/>
    <n v="138"/>
    <n v="1239.68"/>
    <n v="189.17"/>
    <n v="0.15259999999999999"/>
    <n v="63.67"/>
    <n v="5.1399999999999994E-2"/>
    <n v="1.27"/>
    <n v="2.2000000000000002E-2"/>
    <n v="0.21"/>
    <n v="80.69"/>
    <n v="94.49"/>
    <n v="22000"/>
    <n v="2002000"/>
  </r>
  <r>
    <x v="15"/>
    <s v="2022-10"/>
    <s v="2022"/>
    <s v="10"/>
    <x v="3"/>
    <s v="Ethiopian Airlines"/>
    <s v="Ethiopia"/>
    <x v="4"/>
    <x v="0"/>
    <n v="138"/>
    <n v="1292.77"/>
    <n v="211.33"/>
    <n v="0.16350000000000001"/>
    <n v="119.03"/>
    <n v="9.2100000000000015E-2"/>
    <n v="1.5"/>
    <n v="0.377"/>
    <n v="13.77"/>
    <n v="93.25"/>
    <n v="105.56"/>
    <n v="22000"/>
    <n v="2002000"/>
  </r>
  <r>
    <x v="16"/>
    <s v="2023-01"/>
    <s v="2023"/>
    <s v="01"/>
    <x v="4"/>
    <s v="Ethiopian Airlines"/>
    <s v="Ethiopia"/>
    <x v="4"/>
    <x v="0"/>
    <n v="138"/>
    <n v="1202.8"/>
    <n v="194.45"/>
    <n v="0.16170000000000001"/>
    <n v="153.80000000000001"/>
    <n v="0.12789999999999999"/>
    <n v="1.35"/>
    <n v="0.16300000000000001"/>
    <n v="2.5099999999999998"/>
    <n v="84.29"/>
    <n v="97.13"/>
    <n v="22000"/>
    <n v="2002000"/>
  </r>
  <r>
    <x v="17"/>
    <s v="2023-04"/>
    <s v="2023"/>
    <s v="04"/>
    <x v="4"/>
    <s v="Ethiopian Airlines"/>
    <s v="Ethiopia"/>
    <x v="4"/>
    <x v="0"/>
    <n v="138"/>
    <n v="1318.08"/>
    <n v="204.14"/>
    <n v="0.15490000000000001"/>
    <n v="114.94"/>
    <n v="8.72E-2"/>
    <n v="1.52"/>
    <n v="0.161"/>
    <n v="4.37"/>
    <n v="88.18"/>
    <n v="101.97"/>
    <n v="22000"/>
    <n v="2002000"/>
  </r>
  <r>
    <x v="18"/>
    <s v="2023-07"/>
    <s v="2023"/>
    <s v="07"/>
    <x v="4"/>
    <s v="Ethiopian Airlines"/>
    <s v="Ethiopia"/>
    <x v="4"/>
    <x v="0"/>
    <n v="138"/>
    <n v="1317.65"/>
    <n v="195.24"/>
    <n v="0.1482"/>
    <n v="146.51"/>
    <n v="0.11119999999999999"/>
    <n v="1.27"/>
    <n v="0.36599999999999999"/>
    <n v="5.97"/>
    <n v="85.16"/>
    <n v="97.52"/>
    <n v="22000"/>
    <n v="2002000"/>
  </r>
  <r>
    <x v="19"/>
    <s v="2023-10"/>
    <s v="2023"/>
    <s v="10"/>
    <x v="5"/>
    <s v="Ethiopian Airlines"/>
    <s v="Ethiopia"/>
    <x v="4"/>
    <x v="0"/>
    <n v="138"/>
    <n v="1303.77"/>
    <n v="180.1"/>
    <n v="0.1381"/>
    <n v="72.540000000000006"/>
    <n v="5.5599999999999997E-2"/>
    <n v="1.41"/>
    <n v="0.19800000000000001"/>
    <n v="0"/>
    <n v="78.33"/>
    <n v="89.96"/>
    <n v="22000"/>
    <n v="2002000"/>
  </r>
  <r>
    <x v="20"/>
    <s v="2024-01"/>
    <s v="2024"/>
    <s v="01"/>
    <x v="5"/>
    <s v="Ethiopian Airlines"/>
    <s v="Ethiopia"/>
    <x v="4"/>
    <x v="0"/>
    <n v="138"/>
    <n v="1300.6400000000001"/>
    <n v="198.24"/>
    <n v="0.15240000000000001"/>
    <n v="122.28"/>
    <n v="9.4E-2"/>
    <n v="1.43"/>
    <n v="4.7E-2"/>
    <n v="0.93"/>
    <n v="84.61"/>
    <n v="99.02"/>
    <n v="22000"/>
    <n v="2002000"/>
  </r>
  <r>
    <x v="21"/>
    <s v="2024-04"/>
    <s v="2024"/>
    <s v="04"/>
    <x v="5"/>
    <s v="Ethiopian Airlines"/>
    <s v="Ethiopia"/>
    <x v="4"/>
    <x v="0"/>
    <n v="138"/>
    <n v="1209.8900000000001"/>
    <n v="203.76"/>
    <n v="0.16839999999999999"/>
    <n v="115.19"/>
    <n v="9.5199999999999993E-2"/>
    <n v="1.21"/>
    <n v="0.32400000000000001"/>
    <n v="8.64"/>
    <n v="84.06"/>
    <n v="101.78"/>
    <n v="22000"/>
    <n v="2002000"/>
  </r>
  <r>
    <x v="22"/>
    <s v="2024-07"/>
    <s v="2024"/>
    <s v="07"/>
    <x v="5"/>
    <s v="Ethiopian Airlines"/>
    <s v="Ethiopia"/>
    <x v="4"/>
    <x v="0"/>
    <n v="138"/>
    <n v="1299.6300000000001"/>
    <n v="188.15"/>
    <n v="0.14480000000000001"/>
    <n v="157.22999999999999"/>
    <n v="0.121"/>
    <n v="1.29"/>
    <n v="0.48200000000000004"/>
    <n v="4.01"/>
    <n v="80.400000000000006"/>
    <n v="93.98"/>
    <n v="22000"/>
    <n v="2002000"/>
  </r>
  <r>
    <x v="23"/>
    <s v="2024-10"/>
    <s v="2024"/>
    <s v="10"/>
    <x v="5"/>
    <s v="Ethiopian Airlines"/>
    <s v="Ethiopia"/>
    <x v="4"/>
    <x v="0"/>
    <n v="138"/>
    <n v="1246.52"/>
    <n v="225.27"/>
    <n v="0.1807"/>
    <n v="134.49"/>
    <n v="0.1079"/>
    <n v="1.24"/>
    <n v="0.33500000000000002"/>
    <n v="18.88"/>
    <n v="94.78"/>
    <n v="112.52"/>
    <n v="22000"/>
    <n v="2002000"/>
  </r>
  <r>
    <x v="24"/>
    <s v="2025-01"/>
    <s v="2025"/>
    <s v="01"/>
    <x v="6"/>
    <s v="Ethiopian Airlines"/>
    <s v="Ethiopia"/>
    <x v="4"/>
    <x v="0"/>
    <n v="138"/>
    <n v="1323.6"/>
    <n v="203.28"/>
    <n v="0.15359999999999999"/>
    <n v="67.03"/>
    <n v="5.0599999999999999E-2"/>
    <n v="1.51"/>
    <n v="0.29399999999999998"/>
    <n v="7.66"/>
    <n v="85.13"/>
    <n v="101.54"/>
    <n v="22000"/>
    <n v="2002000"/>
  </r>
  <r>
    <x v="25"/>
    <s v="2025-04"/>
    <s v="2025"/>
    <s v="04"/>
    <x v="6"/>
    <s v="Ethiopian Airlines"/>
    <s v="Ethiopia"/>
    <x v="4"/>
    <x v="0"/>
    <n v="138"/>
    <n v="1321.28"/>
    <n v="241.1"/>
    <n v="0.1825"/>
    <n v="179.48"/>
    <n v="0.1358"/>
    <n v="1.32"/>
    <n v="0.43799999999999994"/>
    <n v="35.71"/>
    <n v="101.77"/>
    <n v="120.43"/>
    <n v="22000"/>
    <n v="2002000"/>
  </r>
  <r>
    <x v="26"/>
    <s v="2025-07"/>
    <s v="2025"/>
    <s v="07"/>
    <x v="6"/>
    <s v="Ethiopian Airlines"/>
    <s v="Ethiopia"/>
    <x v="4"/>
    <x v="0"/>
    <n v="138"/>
    <n v="1225.7"/>
    <n v="224.66"/>
    <n v="0.18329999999999999"/>
    <n v="65.64"/>
    <n v="5.3600000000000002E-2"/>
    <n v="1.35"/>
    <n v="7.0000000000000007E-2"/>
    <n v="3.88"/>
    <n v="93.24"/>
    <n v="112.22"/>
    <n v="22000"/>
    <n v="2002000"/>
  </r>
  <r>
    <x v="27"/>
    <s v="2025-10"/>
    <s v="2025"/>
    <s v="10"/>
    <x v="6"/>
    <s v="Ethiopian Airlines"/>
    <s v="Ethiopia"/>
    <x v="4"/>
    <x v="0"/>
    <n v="138"/>
    <n v="1263.0899999999999"/>
    <n v="223.56"/>
    <n v="0.17699999999999999"/>
    <n v="130.85"/>
    <n v="0.1036"/>
    <n v="1.35"/>
    <n v="0.45299999999999996"/>
    <n v="24.38"/>
    <n v="99.34"/>
    <n v="111.67"/>
    <n v="22000"/>
    <n v="2002000"/>
  </r>
  <r>
    <x v="28"/>
    <s v="2026-01"/>
    <s v="2026"/>
    <s v="01"/>
    <x v="7"/>
    <s v="Ethiopian Airlines"/>
    <s v="Ethiopia"/>
    <x v="4"/>
    <x v="0"/>
    <n v="138"/>
    <n v="1075.3499999999999"/>
    <n v="293.89"/>
    <n v="0.27329999999999999"/>
    <n v="-81.239999999999995"/>
    <n v="-7.5600000000000001E-2"/>
    <n v="1.17"/>
    <n v="0.18"/>
    <n v="33.39"/>
    <n v="130.88"/>
    <n v="146.80000000000001"/>
    <n v="22000"/>
    <n v="2002000"/>
  </r>
  <r>
    <x v="0"/>
    <s v="2019-01"/>
    <s v="2019"/>
    <s v="01"/>
    <x v="0"/>
    <s v="EgyptAir"/>
    <s v="Egypt"/>
    <x v="4"/>
    <x v="0"/>
    <n v="78"/>
    <n v="457.32"/>
    <n v="81.44"/>
    <n v="0.17809999999999998"/>
    <n v="36.020000000000003"/>
    <n v="7.8799999999999995E-2"/>
    <n v="0.73"/>
    <n v="0.34399999999999997"/>
    <n v="0"/>
    <n v="63"/>
    <n v="74.58"/>
    <n v="12000"/>
    <n v="1092000"/>
  </r>
  <r>
    <x v="1"/>
    <s v="2019-04"/>
    <s v="2019"/>
    <s v="04"/>
    <x v="0"/>
    <s v="EgyptAir"/>
    <s v="Egypt"/>
    <x v="4"/>
    <x v="0"/>
    <n v="78"/>
    <n v="428.83"/>
    <n v="80.09"/>
    <n v="0.18679999999999999"/>
    <n v="43.12"/>
    <n v="0.10060000000000001"/>
    <n v="0.77"/>
    <n v="0.65"/>
    <n v="0"/>
    <n v="64.790000000000006"/>
    <n v="73.34"/>
    <n v="12000"/>
    <n v="1092000"/>
  </r>
  <r>
    <x v="2"/>
    <s v="2019-07"/>
    <s v="2019"/>
    <s v="07"/>
    <x v="0"/>
    <s v="EgyptAir"/>
    <s v="Egypt"/>
    <x v="4"/>
    <x v="0"/>
    <n v="78"/>
    <n v="481.42"/>
    <n v="77.650000000000006"/>
    <n v="0.1613"/>
    <n v="23.58"/>
    <n v="4.9000000000000002E-2"/>
    <n v="0.75"/>
    <n v="0.09"/>
    <n v="0"/>
    <n v="60.46"/>
    <n v="71.11"/>
    <n v="12000"/>
    <n v="1092000"/>
  </r>
  <r>
    <x v="3"/>
    <s v="2019-10"/>
    <s v="2019"/>
    <s v="10"/>
    <x v="0"/>
    <s v="EgyptAir"/>
    <s v="Egypt"/>
    <x v="4"/>
    <x v="0"/>
    <n v="78"/>
    <n v="460.16"/>
    <n v="84.05"/>
    <n v="0.1827"/>
    <n v="20.52"/>
    <n v="4.4600000000000001E-2"/>
    <n v="0.84"/>
    <n v="0.04"/>
    <n v="0"/>
    <n v="65.66"/>
    <n v="76.97"/>
    <n v="12000"/>
    <n v="1092000"/>
  </r>
  <r>
    <x v="4"/>
    <s v="2020-01"/>
    <s v="2020"/>
    <s v="01"/>
    <x v="0"/>
    <s v="EgyptAir"/>
    <s v="Egypt"/>
    <x v="4"/>
    <x v="0"/>
    <n v="78"/>
    <n v="450.39"/>
    <n v="82.31"/>
    <n v="0.18280000000000002"/>
    <n v="58.28"/>
    <n v="0.12939999999999999"/>
    <n v="0.83"/>
    <n v="0.30199999999999999"/>
    <n v="0"/>
    <n v="66.66"/>
    <n v="75.38"/>
    <n v="12000"/>
    <n v="1092000"/>
  </r>
  <r>
    <x v="5"/>
    <s v="2020-04"/>
    <s v="2020"/>
    <s v="04"/>
    <x v="1"/>
    <s v="EgyptAir"/>
    <s v="Egypt"/>
    <x v="4"/>
    <x v="0"/>
    <n v="78"/>
    <n v="111.46"/>
    <n v="25.87"/>
    <n v="0.2321"/>
    <n v="-32.43"/>
    <n v="-0.29100000000000004"/>
    <n v="0.18"/>
    <n v="0.21100000000000002"/>
    <n v="0"/>
    <n v="20.57"/>
    <n v="23.69"/>
    <n v="12000"/>
    <n v="1092000"/>
  </r>
  <r>
    <x v="6"/>
    <s v="2020-07"/>
    <s v="2020"/>
    <s v="07"/>
    <x v="1"/>
    <s v="EgyptAir"/>
    <s v="Egypt"/>
    <x v="4"/>
    <x v="0"/>
    <n v="78"/>
    <n v="134.05000000000001"/>
    <n v="55.07"/>
    <n v="0.4108"/>
    <n v="-40.369999999999997"/>
    <n v="-0.30120000000000002"/>
    <n v="0.22"/>
    <n v="6.6000000000000003E-2"/>
    <n v="0"/>
    <n v="44.05"/>
    <n v="50.43"/>
    <n v="12000"/>
    <n v="1092000"/>
  </r>
  <r>
    <x v="7"/>
    <s v="2020-10"/>
    <s v="2020"/>
    <s v="10"/>
    <x v="1"/>
    <s v="EgyptAir"/>
    <s v="Egypt"/>
    <x v="4"/>
    <x v="0"/>
    <n v="78"/>
    <n v="73.7"/>
    <n v="49.86"/>
    <n v="0.67659999999999998"/>
    <n v="-23.75"/>
    <n v="-0.32229999999999998"/>
    <n v="0.13"/>
    <n v="0.42700000000000005"/>
    <n v="0"/>
    <n v="39.950000000000003"/>
    <n v="45.66"/>
    <n v="12000"/>
    <n v="1092000"/>
  </r>
  <r>
    <x v="8"/>
    <s v="2021-01"/>
    <s v="2021"/>
    <s v="01"/>
    <x v="1"/>
    <s v="EgyptAir"/>
    <s v="Egypt"/>
    <x v="4"/>
    <x v="0"/>
    <n v="78"/>
    <n v="148.04"/>
    <n v="93.66"/>
    <n v="0.63270000000000004"/>
    <n v="-36.409999999999997"/>
    <n v="-0.24590000000000001"/>
    <n v="0.23"/>
    <n v="0.51600000000000001"/>
    <n v="0"/>
    <n v="75.489999999999995"/>
    <n v="85.77"/>
    <n v="12000"/>
    <n v="1092000"/>
  </r>
  <r>
    <x v="9"/>
    <s v="2021-04"/>
    <s v="2021"/>
    <s v="04"/>
    <x v="1"/>
    <s v="EgyptAir"/>
    <s v="Egypt"/>
    <x v="4"/>
    <x v="0"/>
    <n v="78"/>
    <n v="128.37"/>
    <n v="99.28"/>
    <n v="0.77340000000000009"/>
    <n v="-31.19"/>
    <n v="-0.24299999999999999"/>
    <n v="0.23"/>
    <n v="0.22500000000000001"/>
    <n v="0.23"/>
    <n v="76.83"/>
    <n v="90.92"/>
    <n v="12000"/>
    <n v="1092000"/>
  </r>
  <r>
    <x v="10"/>
    <s v="2021-07"/>
    <s v="2021"/>
    <s v="07"/>
    <x v="2"/>
    <s v="EgyptAir"/>
    <s v="Egypt"/>
    <x v="4"/>
    <x v="0"/>
    <n v="78"/>
    <n v="316.19"/>
    <n v="98.19"/>
    <n v="0.3105"/>
    <n v="6.91"/>
    <n v="2.18E-2"/>
    <n v="0.51"/>
    <n v="0.22699999999999998"/>
    <n v="0"/>
    <n v="78.97"/>
    <n v="89.92"/>
    <n v="12000"/>
    <n v="1092000"/>
  </r>
  <r>
    <x v="11"/>
    <s v="2021-10"/>
    <s v="2021"/>
    <s v="10"/>
    <x v="2"/>
    <s v="EgyptAir"/>
    <s v="Egypt"/>
    <x v="4"/>
    <x v="0"/>
    <n v="78"/>
    <n v="298.72000000000003"/>
    <n v="113.84"/>
    <n v="0.38109999999999999"/>
    <n v="23.56"/>
    <n v="7.8899999999999998E-2"/>
    <n v="0.48"/>
    <n v="0.50700000000000001"/>
    <n v="9.14"/>
    <n v="86.82"/>
    <n v="104.25"/>
    <n v="12000"/>
    <n v="1092000"/>
  </r>
  <r>
    <x v="12"/>
    <s v="2022-01"/>
    <s v="2022"/>
    <s v="01"/>
    <x v="2"/>
    <s v="EgyptAir"/>
    <s v="Egypt"/>
    <x v="4"/>
    <x v="0"/>
    <n v="78"/>
    <n v="381.88"/>
    <n v="88.93"/>
    <n v="0.2329"/>
    <n v="29.02"/>
    <n v="7.5999999999999998E-2"/>
    <n v="0.66"/>
    <n v="0.35"/>
    <n v="0"/>
    <n v="72.010000000000005"/>
    <n v="81.44"/>
    <n v="12000"/>
    <n v="1092000"/>
  </r>
  <r>
    <x v="13"/>
    <s v="2022-04"/>
    <s v="2022"/>
    <s v="04"/>
    <x v="3"/>
    <s v="EgyptAir"/>
    <s v="Egypt"/>
    <x v="4"/>
    <x v="0"/>
    <n v="78"/>
    <n v="432.83"/>
    <n v="143.74"/>
    <n v="0.33210000000000001"/>
    <n v="38.49"/>
    <n v="8.8900000000000007E-2"/>
    <n v="0.7"/>
    <n v="6.9000000000000006E-2"/>
    <n v="4.59"/>
    <n v="109.53"/>
    <n v="131.63"/>
    <n v="12000"/>
    <n v="1092000"/>
  </r>
  <r>
    <x v="14"/>
    <s v="2022-07"/>
    <s v="2022"/>
    <s v="07"/>
    <x v="3"/>
    <s v="EgyptAir"/>
    <s v="Egypt"/>
    <x v="4"/>
    <x v="0"/>
    <n v="78"/>
    <n v="431.47"/>
    <n v="103.18"/>
    <n v="0.23910000000000001"/>
    <n v="19.510000000000002"/>
    <n v="4.5199999999999997E-2"/>
    <n v="0.76"/>
    <n v="0.11"/>
    <n v="0.56999999999999995"/>
    <n v="80.69"/>
    <n v="94.49"/>
    <n v="12000"/>
    <n v="1092000"/>
  </r>
  <r>
    <x v="15"/>
    <s v="2022-10"/>
    <s v="2022"/>
    <s v="10"/>
    <x v="3"/>
    <s v="EgyptAir"/>
    <s v="Egypt"/>
    <x v="4"/>
    <x v="0"/>
    <n v="78"/>
    <n v="433.52"/>
    <n v="115.27"/>
    <n v="0.26590000000000003"/>
    <n v="11.33"/>
    <n v="2.6099999999999998E-2"/>
    <n v="0.78"/>
    <n v="0.47100000000000003"/>
    <n v="9.39"/>
    <n v="93.25"/>
    <n v="105.56"/>
    <n v="12000"/>
    <n v="1092000"/>
  </r>
  <r>
    <x v="16"/>
    <s v="2023-01"/>
    <s v="2023"/>
    <s v="01"/>
    <x v="4"/>
    <s v="EgyptAir"/>
    <s v="Egypt"/>
    <x v="4"/>
    <x v="0"/>
    <n v="78"/>
    <n v="453.09"/>
    <n v="106.07"/>
    <n v="0.2341"/>
    <n v="37.61"/>
    <n v="8.3000000000000004E-2"/>
    <n v="0.71"/>
    <n v="0.25"/>
    <n v="2.1"/>
    <n v="84.29"/>
    <n v="97.13"/>
    <n v="12000"/>
    <n v="1092000"/>
  </r>
  <r>
    <x v="17"/>
    <s v="2023-04"/>
    <s v="2023"/>
    <s v="04"/>
    <x v="4"/>
    <s v="EgyptAir"/>
    <s v="Egypt"/>
    <x v="4"/>
    <x v="0"/>
    <n v="78"/>
    <n v="480.55"/>
    <n v="111.35"/>
    <n v="0.23170000000000002"/>
    <n v="25.89"/>
    <n v="5.3899999999999997E-2"/>
    <n v="0.85"/>
    <n v="3.1E-2"/>
    <n v="0.46"/>
    <n v="88.18"/>
    <n v="101.97"/>
    <n v="12000"/>
    <n v="1092000"/>
  </r>
  <r>
    <x v="18"/>
    <s v="2023-07"/>
    <s v="2023"/>
    <s v="07"/>
    <x v="4"/>
    <s v="EgyptAir"/>
    <s v="Egypt"/>
    <x v="4"/>
    <x v="0"/>
    <n v="78"/>
    <n v="445.73"/>
    <n v="106.49"/>
    <n v="0.2389"/>
    <n v="55.58"/>
    <n v="0.12470000000000001"/>
    <n v="0.74"/>
    <n v="0.45700000000000002"/>
    <n v="4.07"/>
    <n v="85.16"/>
    <n v="97.52"/>
    <n v="12000"/>
    <n v="1092000"/>
  </r>
  <r>
    <x v="19"/>
    <s v="2023-10"/>
    <s v="2023"/>
    <s v="10"/>
    <x v="5"/>
    <s v="EgyptAir"/>
    <s v="Egypt"/>
    <x v="4"/>
    <x v="0"/>
    <n v="78"/>
    <n v="433.56"/>
    <n v="98.24"/>
    <n v="0.2266"/>
    <n v="46.97"/>
    <n v="0.10830000000000001"/>
    <n v="0.78"/>
    <n v="0.52300000000000002"/>
    <n v="0"/>
    <n v="78.33"/>
    <n v="89.96"/>
    <n v="12000"/>
    <n v="1092000"/>
  </r>
  <r>
    <x v="20"/>
    <s v="2024-01"/>
    <s v="2024"/>
    <s v="01"/>
    <x v="5"/>
    <s v="EgyptAir"/>
    <s v="Egypt"/>
    <x v="4"/>
    <x v="0"/>
    <n v="78"/>
    <n v="453.17"/>
    <n v="108.13"/>
    <n v="0.23860000000000001"/>
    <n v="59.1"/>
    <n v="0.13039999999999999"/>
    <n v="0.77"/>
    <n v="0.53200000000000003"/>
    <n v="5.77"/>
    <n v="84.61"/>
    <n v="99.02"/>
    <n v="12000"/>
    <n v="1092000"/>
  </r>
  <r>
    <x v="21"/>
    <s v="2024-04"/>
    <s v="2024"/>
    <s v="04"/>
    <x v="5"/>
    <s v="EgyptAir"/>
    <s v="Egypt"/>
    <x v="4"/>
    <x v="0"/>
    <n v="78"/>
    <n v="439.99"/>
    <n v="111.14"/>
    <n v="0.25259999999999999"/>
    <n v="26.85"/>
    <n v="6.0999999999999999E-2"/>
    <n v="0.78"/>
    <n v="0.42"/>
    <n v="6.11"/>
    <n v="84.06"/>
    <n v="101.78"/>
    <n v="12000"/>
    <n v="1092000"/>
  </r>
  <r>
    <x v="22"/>
    <s v="2024-07"/>
    <s v="2024"/>
    <s v="07"/>
    <x v="5"/>
    <s v="EgyptAir"/>
    <s v="Egypt"/>
    <x v="4"/>
    <x v="0"/>
    <n v="78"/>
    <n v="467.06"/>
    <n v="102.63"/>
    <n v="0.21969999999999998"/>
    <n v="29.73"/>
    <n v="6.3700000000000007E-2"/>
    <n v="0.77"/>
    <n v="0.16800000000000001"/>
    <n v="0.76"/>
    <n v="80.400000000000006"/>
    <n v="93.98"/>
    <n v="12000"/>
    <n v="1092000"/>
  </r>
  <r>
    <x v="23"/>
    <s v="2024-10"/>
    <s v="2024"/>
    <s v="10"/>
    <x v="5"/>
    <s v="EgyptAir"/>
    <s v="Egypt"/>
    <x v="4"/>
    <x v="0"/>
    <n v="78"/>
    <n v="431.49"/>
    <n v="122.87"/>
    <n v="0.2848"/>
    <n v="26.06"/>
    <n v="6.0400000000000002E-2"/>
    <n v="0.8"/>
    <n v="0.152"/>
    <n v="4.67"/>
    <n v="94.78"/>
    <n v="112.52"/>
    <n v="12000"/>
    <n v="1092000"/>
  </r>
  <r>
    <x v="24"/>
    <s v="2025-01"/>
    <s v="2025"/>
    <s v="01"/>
    <x v="6"/>
    <s v="EgyptAir"/>
    <s v="Egypt"/>
    <x v="4"/>
    <x v="0"/>
    <n v="78"/>
    <n v="436.82"/>
    <n v="110.88"/>
    <n v="0.25379999999999997"/>
    <n v="47.91"/>
    <n v="0.10970000000000001"/>
    <n v="0.75"/>
    <n v="0.48499999999999999"/>
    <n v="6.9"/>
    <n v="85.13"/>
    <n v="101.54"/>
    <n v="12000"/>
    <n v="1092000"/>
  </r>
  <r>
    <x v="25"/>
    <s v="2025-04"/>
    <s v="2025"/>
    <s v="04"/>
    <x v="6"/>
    <s v="EgyptAir"/>
    <s v="Egypt"/>
    <x v="4"/>
    <x v="0"/>
    <n v="78"/>
    <n v="465.74"/>
    <n v="131.51"/>
    <n v="0.28239999999999998"/>
    <n v="29.02"/>
    <n v="6.2300000000000001E-2"/>
    <n v="0.78"/>
    <n v="0.115"/>
    <n v="5.1100000000000003"/>
    <n v="101.77"/>
    <n v="120.43"/>
    <n v="12000"/>
    <n v="1092000"/>
  </r>
  <r>
    <x v="26"/>
    <s v="2025-07"/>
    <s v="2025"/>
    <s v="07"/>
    <x v="6"/>
    <s v="EgyptAir"/>
    <s v="Egypt"/>
    <x v="4"/>
    <x v="0"/>
    <n v="78"/>
    <n v="442.33"/>
    <n v="122.54"/>
    <n v="0.27699999999999997"/>
    <n v="61.35"/>
    <n v="0.13869999999999999"/>
    <n v="0.78"/>
    <n v="0.50900000000000001"/>
    <n v="15.4"/>
    <n v="93.24"/>
    <n v="112.22"/>
    <n v="12000"/>
    <n v="1092000"/>
  </r>
  <r>
    <x v="27"/>
    <s v="2025-10"/>
    <s v="2025"/>
    <s v="10"/>
    <x v="6"/>
    <s v="EgyptAir"/>
    <s v="Egypt"/>
    <x v="4"/>
    <x v="0"/>
    <n v="78"/>
    <n v="429.26"/>
    <n v="121.94"/>
    <n v="0.28410000000000002"/>
    <n v="33.57"/>
    <n v="7.8200000000000006E-2"/>
    <n v="0.73"/>
    <n v="9.6999999999999989E-2"/>
    <n v="2.85"/>
    <n v="99.34"/>
    <n v="111.67"/>
    <n v="12000"/>
    <n v="1092000"/>
  </r>
  <r>
    <x v="28"/>
    <s v="2026-01"/>
    <s v="2026"/>
    <s v="01"/>
    <x v="7"/>
    <s v="EgyptAir"/>
    <s v="Egypt"/>
    <x v="4"/>
    <x v="0"/>
    <n v="78"/>
    <n v="391.37"/>
    <n v="160.31"/>
    <n v="0.40960000000000002"/>
    <n v="-86.92"/>
    <n v="-0.22210000000000002"/>
    <n v="0.68"/>
    <n v="0.36"/>
    <n v="36.42"/>
    <n v="130.88"/>
    <n v="146.80000000000001"/>
    <n v="12000"/>
    <n v="109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ABF5E4-665A-4D8B-80ED-1585C2FC14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nflict Phase">
  <location ref="A3:D6" firstHeaderRow="0" firstDataRow="1" firstDataCol="1"/>
  <pivotFields count="22">
    <pivotField showAll="0"/>
    <pivotField showAll="0"/>
    <pivotField showAll="0"/>
    <pivotField showAll="0"/>
    <pivotField name="Conflict Phase" axis="axisRow" showAll="0">
      <items count="9">
        <item h="1" x="0"/>
        <item h="1" x="7"/>
        <item h="1" x="1"/>
        <item h="1" x="2"/>
        <item x="3"/>
        <item x="4"/>
        <item h="1" x="5"/>
        <item h="1" x="6"/>
        <item t="default"/>
      </items>
    </pivotField>
    <pivotField showAll="0"/>
    <pivotField showAll="0"/>
    <pivotField showAll="0">
      <items count="6">
        <item x="4"/>
        <item x="1"/>
        <item x="2"/>
        <item x="0"/>
        <item x="3"/>
        <item t="default"/>
      </items>
    </pivotField>
    <pivotField showAll="0">
      <items count="3">
        <item x="0"/>
        <item x="1"/>
        <item t="default"/>
      </items>
    </pivotField>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4"/>
  </rowFields>
  <rowItems count="3">
    <i>
      <x v="4"/>
    </i>
    <i>
      <x v="5"/>
    </i>
    <i t="grand">
      <x/>
    </i>
  </rowItems>
  <colFields count="1">
    <field x="-2"/>
  </colFields>
  <colItems count="3">
    <i>
      <x/>
    </i>
    <i i="1">
      <x v="1"/>
    </i>
    <i i="2">
      <x v="2"/>
    </i>
  </colItems>
  <dataFields count="3">
    <dataField name="Total Revenue ($M)" fld="10" baseField="4" baseItem="0" numFmtId="164"/>
    <dataField name="Net Profit ($M)" fld="13" baseField="4" baseItem="0" numFmtId="164"/>
    <dataField name="Profit Margin (%)" fld="14" subtotal="average" baseField="4" baseItem="0" numFmtId="9"/>
  </dataFields>
  <formats count="6">
    <format dxfId="292">
      <pivotArea outline="0" collapsedLevelsAreSubtotals="1" fieldPosition="0">
        <references count="1">
          <reference field="4294967294" count="2" selected="0">
            <x v="0"/>
            <x v="1"/>
          </reference>
        </references>
      </pivotArea>
    </format>
    <format dxfId="291">
      <pivotArea outline="0" collapsedLevelsAreSubtotals="1" fieldPosition="0">
        <references count="1">
          <reference field="4294967294" count="1" selected="0">
            <x v="0"/>
          </reference>
        </references>
      </pivotArea>
    </format>
    <format dxfId="290">
      <pivotArea outline="0" collapsedLevelsAreSubtotals="1" fieldPosition="0">
        <references count="1">
          <reference field="4294967294" count="1" selected="0">
            <x v="1"/>
          </reference>
        </references>
      </pivotArea>
    </format>
    <format dxfId="289">
      <pivotArea field="4" type="button" dataOnly="0" labelOnly="1" outline="0" axis="axisRow" fieldPosition="0"/>
    </format>
    <format dxfId="288">
      <pivotArea dataOnly="0" labelOnly="1" outline="0" fieldPosition="0">
        <references count="1">
          <reference field="4294967294" count="3">
            <x v="0"/>
            <x v="1"/>
            <x v="2"/>
          </reference>
        </references>
      </pivotArea>
    </format>
    <format dxfId="136">
      <pivotArea outline="0" collapsedLevelsAreSubtotals="1"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85268C-61B6-4DC3-A9D5-06CB15FE74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83:D86" firstHeaderRow="0" firstDataRow="1" firstDataCol="1"/>
  <pivotFields count="22">
    <pivotField showAll="0"/>
    <pivotField showAll="0"/>
    <pivotField showAll="0"/>
    <pivotField showAll="0"/>
    <pivotField showAll="0">
      <items count="9">
        <item h="1" x="1"/>
        <item h="1" x="5"/>
        <item h="1" x="6"/>
        <item h="1" x="0"/>
        <item h="1" x="2"/>
        <item x="4"/>
        <item x="3"/>
        <item h="1" x="7"/>
        <item t="default"/>
      </items>
    </pivotField>
    <pivotField showAll="0"/>
    <pivotField showAll="0"/>
    <pivotField showAll="0">
      <items count="6">
        <item x="4"/>
        <item x="1"/>
        <item x="2"/>
        <item x="0"/>
        <item x="3"/>
        <item t="default"/>
      </items>
    </pivotField>
    <pivotField axis="axisRow" showAll="0">
      <items count="3">
        <item x="0"/>
        <item x="1"/>
        <item t="default"/>
      </items>
    </pivotField>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3">
    <i>
      <x/>
    </i>
    <i i="1">
      <x v="1"/>
    </i>
    <i i="2">
      <x v="2"/>
    </i>
  </colItems>
  <dataFields count="3">
    <dataField name="Avg Margin %" fld="14" subtotal="average" baseField="8" baseItem="0" numFmtId="9"/>
    <dataField name="Avg Fuel Cost %" fld="12" subtotal="average" baseField="8" baseItem="0" numFmtId="9"/>
    <dataField name="Total Passengers (M)" fld="15" baseField="8" baseItem="0"/>
  </dataFields>
  <formats count="8">
    <format dxfId="299">
      <pivotArea collapsedLevelsAreSubtotals="1" fieldPosition="0">
        <references count="2">
          <reference field="4294967294" count="2" selected="0">
            <x v="0"/>
            <x v="1"/>
          </reference>
          <reference field="8" count="0"/>
        </references>
      </pivotArea>
    </format>
    <format dxfId="298">
      <pivotArea field="8" grandRow="1" outline="0" collapsedLevelsAreSubtotals="1" axis="axisRow" fieldPosition="0">
        <references count="1">
          <reference field="4294967294" count="1" selected="0">
            <x v="0"/>
          </reference>
        </references>
      </pivotArea>
    </format>
    <format dxfId="297">
      <pivotArea field="8" grandRow="1" outline="0" collapsedLevelsAreSubtotals="1" axis="axisRow" fieldPosition="0">
        <references count="1">
          <reference field="4294967294" count="1" selected="0">
            <x v="1"/>
          </reference>
        </references>
      </pivotArea>
    </format>
    <format dxfId="296">
      <pivotArea collapsedLevelsAreSubtotals="1" fieldPosition="0">
        <references count="2">
          <reference field="4294967294" count="1" selected="0">
            <x v="2"/>
          </reference>
          <reference field="8" count="0"/>
        </references>
      </pivotArea>
    </format>
    <format dxfId="295">
      <pivotArea field="8" grandRow="1" outline="0" collapsedLevelsAreSubtotals="1" axis="axisRow" fieldPosition="0">
        <references count="1">
          <reference field="4294967294" count="1" selected="0">
            <x v="2"/>
          </reference>
        </references>
      </pivotArea>
    </format>
    <format dxfId="294">
      <pivotArea field="8" type="button" dataOnly="0" labelOnly="1" outline="0" axis="axisRow" fieldPosition="0"/>
    </format>
    <format dxfId="293">
      <pivotArea dataOnly="0" labelOnly="1" outline="0" fieldPosition="0">
        <references count="1">
          <reference field="4294967294" count="3">
            <x v="0"/>
            <x v="1"/>
            <x v="2"/>
          </reference>
        </references>
      </pivotArea>
    </format>
    <format dxfId="151">
      <pivotArea outline="0" collapsedLevelsAreSubtotals="1" fieldPosition="0">
        <references count="1">
          <reference field="4294967294" count="2" selected="0">
            <x v="0"/>
            <x v="1"/>
          </reference>
        </references>
      </pivotArea>
    </format>
  </formats>
  <chartFormats count="1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2"/>
          </reference>
        </references>
      </pivotArea>
    </chartFormat>
    <chartFormat chart="32"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1"/>
          </reference>
        </references>
      </pivotArea>
    </chartFormat>
    <chartFormat chart="32" format="5" series="1">
      <pivotArea type="data" outline="0" fieldPosition="0">
        <references count="1">
          <reference field="4294967294" count="1" selected="0">
            <x v="2"/>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2"/>
          </reference>
        </references>
      </pivotArea>
    </chartFormat>
    <chartFormat chart="33" format="9">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C3454-E160-4A75-BA4C-F1CE761C1D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1:C58" firstHeaderRow="0" firstDataRow="1" firstDataCol="1"/>
  <pivotFields count="22">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items count="9">
        <item h="1" x="1"/>
        <item h="1" x="5"/>
        <item h="1" x="6"/>
        <item h="1" x="0"/>
        <item h="1" x="2"/>
        <item x="4"/>
        <item x="3"/>
        <item h="1" x="7"/>
        <item t="default"/>
      </items>
    </pivotField>
    <pivotField showAll="0"/>
    <pivotField showAll="0"/>
    <pivotField showAll="0">
      <items count="6">
        <item x="4"/>
        <item x="1"/>
        <item x="2"/>
        <item x="0"/>
        <item x="3"/>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0"/>
  </rowFields>
  <rowItems count="7">
    <i>
      <x v="13"/>
    </i>
    <i>
      <x v="14"/>
    </i>
    <i>
      <x v="15"/>
    </i>
    <i>
      <x v="16"/>
    </i>
    <i>
      <x v="17"/>
    </i>
    <i>
      <x v="18"/>
    </i>
    <i t="grand">
      <x/>
    </i>
  </rowItems>
  <colFields count="1">
    <field x="-2"/>
  </colFields>
  <colItems count="2">
    <i>
      <x/>
    </i>
    <i i="1">
      <x v="1"/>
    </i>
  </colItems>
  <dataFields count="2">
    <dataField name="Jet Fuel Price ($/bbl)" fld="19" subtotal="average" baseField="0" baseItem="0" numFmtId="164"/>
    <dataField name="Hedge Savings ($M)" fld="17" baseField="0" baseItem="0" numFmtId="164"/>
  </dataFields>
  <formats count="7">
    <format dxfId="306">
      <pivotArea collapsedLevelsAreSubtotals="1" fieldPosition="0">
        <references count="2">
          <reference field="4294967294" count="1" selected="0">
            <x v="0"/>
          </reference>
          <reference field="0" count="1">
            <x v="0"/>
          </reference>
        </references>
      </pivotArea>
    </format>
    <format dxfId="305">
      <pivotArea outline="0" collapsedLevelsAreSubtotals="1" fieldPosition="0">
        <references count="1">
          <reference field="4294967294" count="1" selected="0">
            <x v="0"/>
          </reference>
        </references>
      </pivotArea>
    </format>
    <format dxfId="304">
      <pivotArea dataOnly="0" labelOnly="1" outline="0" fieldPosition="0">
        <references count="1">
          <reference field="4294967294" count="1">
            <x v="0"/>
          </reference>
        </references>
      </pivotArea>
    </format>
    <format dxfId="303">
      <pivotArea outline="0" collapsedLevelsAreSubtotals="1" fieldPosition="0">
        <references count="1">
          <reference field="4294967294" count="1" selected="0">
            <x v="1"/>
          </reference>
        </references>
      </pivotArea>
    </format>
    <format dxfId="302">
      <pivotArea dataOnly="0" labelOnly="1" outline="0" fieldPosition="0">
        <references count="1">
          <reference field="4294967294" count="1">
            <x v="1"/>
          </reference>
        </references>
      </pivotArea>
    </format>
    <format dxfId="301">
      <pivotArea field="0" type="button" dataOnly="0" labelOnly="1" outline="0" axis="axisRow" fieldPosition="0"/>
    </format>
    <format dxfId="300">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21B5B-4EF6-446D-92F8-05166B4252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0" firstDataRow="1" firstDataCol="1"/>
  <pivotFields count="22">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items count="9">
        <item h="1" x="1"/>
        <item h="1" x="5"/>
        <item h="1" x="6"/>
        <item h="1" x="0"/>
        <item h="1" x="2"/>
        <item x="4"/>
        <item x="3"/>
        <item h="1" x="7"/>
        <item t="default"/>
      </items>
    </pivotField>
    <pivotField showAll="0"/>
    <pivotField showAll="0"/>
    <pivotField showAll="0">
      <items count="6">
        <item x="4"/>
        <item x="1"/>
        <item x="2"/>
        <item x="0"/>
        <item x="3"/>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s>
  <rowFields count="1">
    <field x="0"/>
  </rowFields>
  <rowItems count="7">
    <i>
      <x v="13"/>
    </i>
    <i>
      <x v="14"/>
    </i>
    <i>
      <x v="15"/>
    </i>
    <i>
      <x v="16"/>
    </i>
    <i>
      <x v="17"/>
    </i>
    <i>
      <x v="18"/>
    </i>
    <i t="grand">
      <x/>
    </i>
  </rowItems>
  <colFields count="1">
    <field x="-2"/>
  </colFields>
  <colItems count="3">
    <i>
      <x/>
    </i>
    <i i="1">
      <x v="1"/>
    </i>
    <i i="2">
      <x v="2"/>
    </i>
  </colItems>
  <dataFields count="3">
    <dataField name="Jet Fuel Price ($/bbl)" fld="19" subtotal="average" baseField="0" baseItem="0" numFmtId="164"/>
    <dataField name="Hedge Savings ($M)" fld="17" baseField="0" baseItem="0" numFmtId="164"/>
    <dataField name="Fuel Hedging( %)" fld="16" subtotal="average" baseField="0" baseItem="0" numFmtId="9"/>
  </dataFields>
  <formats count="6">
    <format dxfId="311">
      <pivotArea outline="0" collapsedLevelsAreSubtotals="1" fieldPosition="0">
        <references count="1">
          <reference field="4294967294" count="1" selected="0">
            <x v="0"/>
          </reference>
        </references>
      </pivotArea>
    </format>
    <format dxfId="310">
      <pivotArea outline="0" collapsedLevelsAreSubtotals="1" fieldPosition="0">
        <references count="1">
          <reference field="4294967294" count="1" selected="0">
            <x v="1"/>
          </reference>
        </references>
      </pivotArea>
    </format>
    <format dxfId="309">
      <pivotArea collapsedLevelsAreSubtotals="1" fieldPosition="0">
        <references count="2">
          <reference field="4294967294" count="1" selected="0">
            <x v="1"/>
          </reference>
          <reference field="0" count="1">
            <x v="0"/>
          </reference>
        </references>
      </pivotArea>
    </format>
    <format dxfId="308">
      <pivotArea field="0" type="button" dataOnly="0" labelOnly="1" outline="0" axis="axisRow" fieldPosition="0"/>
    </format>
    <format dxfId="307">
      <pivotArea dataOnly="0" labelOnly="1" outline="0" fieldPosition="0">
        <references count="1">
          <reference field="4294967294" count="3">
            <x v="0"/>
            <x v="1"/>
            <x v="2"/>
          </reference>
        </references>
      </pivotArea>
    </format>
    <format dxfId="14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lict_phase" xr10:uid="{F950FFE5-9EC3-4CA8-AE29-33A2B6BC7466}" sourceName="conflict_phase">
  <pivotTables>
    <pivotTable tabId="3" name="PivotTable1"/>
    <pivotTable tabId="3" name="PivotTable2"/>
    <pivotTable tabId="3" name="PivotTable3"/>
    <pivotTable tabId="3" name="PivotTable4"/>
  </pivotTables>
  <data>
    <tabular pivotCacheId="2005325961" customListSort="0">
      <items count="8">
        <i x="1"/>
        <i x="5"/>
        <i x="6"/>
        <i x="0"/>
        <i x="2"/>
        <i x="4" s="1"/>
        <i x="3" s="1"/>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E2F50F-E6EB-4EF7-844A-8A4450559FA9}" sourceName="region">
  <pivotTables>
    <pivotTable tabId="3" name="PivotTable1"/>
    <pivotTable tabId="3" name="PivotTable2"/>
    <pivotTable tabId="3" name="PivotTable3"/>
    <pivotTable tabId="3" name="PivotTable4"/>
  </pivotTables>
  <data>
    <tabular pivotCacheId="2005325961">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type" xr10:uid="{F91E66D1-CCA0-4045-B4C0-6909DFBC9FF9}" sourceName="airline_type">
  <pivotTables>
    <pivotTable tabId="3" name="PivotTable1"/>
    <pivotTable tabId="3" name="PivotTable2"/>
    <pivotTable tabId="3" name="PivotTable3"/>
    <pivotTable tabId="3" name="PivotTable4"/>
  </pivotTables>
  <data>
    <tabular pivotCacheId="20053259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flict Phase" xr10:uid="{EA83D571-6A2D-4939-8AE3-5C0EA1D78C2B}" cache="Slicer_conflict_phase" caption="Select Phase" rowHeight="257175"/>
  <slicer name="region" xr10:uid="{F6AF4206-91FC-4249-971A-A1ABF7A7CDDC}" cache="Slicer_region" caption="Select Region" rowHeight="257175"/>
  <slicer name="airline_type" xr10:uid="{F80DACE9-D0F4-4E30-B711-32F36D16DA40}" cache="Slicer_airline_type" caption="Select  Airline 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C907-22B3-4BCE-A13A-7FD94EFED817}">
  <dimension ref="A1:T726"/>
  <sheetViews>
    <sheetView topLeftCell="I1" workbookViewId="0">
      <selection activeCell="M8" sqref="M8"/>
    </sheetView>
  </sheetViews>
  <sheetFormatPr defaultRowHeight="15" x14ac:dyDescent="0.25"/>
  <cols>
    <col min="1" max="1" width="8.140625" bestFit="1" customWidth="1"/>
    <col min="2" max="2" width="7.7109375" bestFit="1" customWidth="1"/>
    <col min="3" max="3" width="21.85546875" bestFit="1" customWidth="1"/>
    <col min="4" max="4" width="17.28515625" bestFit="1" customWidth="1"/>
    <col min="6" max="7" width="11.140625" bestFit="1" customWidth="1"/>
    <col min="9" max="9" width="14.7109375" bestFit="1" customWidth="1"/>
    <col min="10" max="10" width="15.7109375" bestFit="1" customWidth="1"/>
    <col min="11" max="11" width="20.42578125" bestFit="1" customWidth="1"/>
    <col min="12" max="12" width="16.140625" bestFit="1" customWidth="1"/>
    <col min="13" max="13" width="16.5703125" bestFit="1" customWidth="1"/>
    <col min="14" max="14" width="21.140625" bestFit="1" customWidth="1"/>
    <col min="15" max="15" width="15.85546875" bestFit="1" customWidth="1"/>
    <col min="16" max="16" width="20.85546875" bestFit="1" customWidth="1"/>
    <col min="17" max="17" width="22.140625" bestFit="1" customWidth="1"/>
    <col min="18" max="18" width="17.85546875" bestFit="1" customWidth="1"/>
    <col min="19" max="19" width="26.28515625" bestFit="1" customWidth="1"/>
    <col min="20" max="20" width="16.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v>260</v>
      </c>
      <c r="I2">
        <v>7254.03</v>
      </c>
      <c r="J2">
        <v>576.88</v>
      </c>
      <c r="K2">
        <v>7.95</v>
      </c>
      <c r="L2">
        <v>995.04</v>
      </c>
      <c r="M2">
        <v>13.72</v>
      </c>
      <c r="N2">
        <v>2.31</v>
      </c>
      <c r="O2">
        <v>64</v>
      </c>
      <c r="P2">
        <v>0</v>
      </c>
      <c r="Q2">
        <v>63</v>
      </c>
      <c r="R2">
        <v>74.58</v>
      </c>
      <c r="S2">
        <v>85000</v>
      </c>
      <c r="T2">
        <v>7735000</v>
      </c>
    </row>
    <row r="3" spans="1:20" x14ac:dyDescent="0.25">
      <c r="A3" t="s">
        <v>27</v>
      </c>
      <c r="B3" t="s">
        <v>28</v>
      </c>
      <c r="C3" t="s">
        <v>22</v>
      </c>
      <c r="D3" t="s">
        <v>23</v>
      </c>
      <c r="E3" t="s">
        <v>24</v>
      </c>
      <c r="F3" t="s">
        <v>25</v>
      </c>
      <c r="G3" t="s">
        <v>26</v>
      </c>
      <c r="H3">
        <v>260</v>
      </c>
      <c r="I3">
        <v>7685.08</v>
      </c>
      <c r="J3">
        <v>567.28</v>
      </c>
      <c r="K3">
        <v>7.38</v>
      </c>
      <c r="L3">
        <v>973.28</v>
      </c>
      <c r="M3">
        <v>12.66</v>
      </c>
      <c r="N3">
        <v>2.86</v>
      </c>
      <c r="O3">
        <v>56</v>
      </c>
      <c r="P3">
        <v>0</v>
      </c>
      <c r="Q3">
        <v>64.790000000000006</v>
      </c>
      <c r="R3">
        <v>73.34</v>
      </c>
      <c r="S3">
        <v>85000</v>
      </c>
      <c r="T3">
        <v>7735000</v>
      </c>
    </row>
    <row r="4" spans="1:20" x14ac:dyDescent="0.25">
      <c r="A4" t="s">
        <v>29</v>
      </c>
      <c r="B4" t="s">
        <v>30</v>
      </c>
      <c r="C4" t="s">
        <v>22</v>
      </c>
      <c r="D4" t="s">
        <v>23</v>
      </c>
      <c r="E4" t="s">
        <v>24</v>
      </c>
      <c r="F4" t="s">
        <v>25</v>
      </c>
      <c r="G4" t="s">
        <v>26</v>
      </c>
      <c r="H4">
        <v>260</v>
      </c>
      <c r="I4">
        <v>7655.78</v>
      </c>
      <c r="J4">
        <v>550.04</v>
      </c>
      <c r="K4">
        <v>7.18</v>
      </c>
      <c r="L4">
        <v>994.88</v>
      </c>
      <c r="M4">
        <v>13</v>
      </c>
      <c r="N4">
        <v>2.64</v>
      </c>
      <c r="O4">
        <v>61.1</v>
      </c>
      <c r="P4">
        <v>0</v>
      </c>
      <c r="Q4">
        <v>60.46</v>
      </c>
      <c r="R4">
        <v>71.11</v>
      </c>
      <c r="S4">
        <v>85000</v>
      </c>
      <c r="T4">
        <v>7735000</v>
      </c>
    </row>
    <row r="5" spans="1:20" x14ac:dyDescent="0.25">
      <c r="A5" t="s">
        <v>31</v>
      </c>
      <c r="B5" t="s">
        <v>32</v>
      </c>
      <c r="C5" t="s">
        <v>22</v>
      </c>
      <c r="D5" t="s">
        <v>23</v>
      </c>
      <c r="E5" t="s">
        <v>24</v>
      </c>
      <c r="F5" t="s">
        <v>25</v>
      </c>
      <c r="G5" t="s">
        <v>26</v>
      </c>
      <c r="H5">
        <v>260</v>
      </c>
      <c r="I5">
        <v>7250.33</v>
      </c>
      <c r="J5">
        <v>595.36</v>
      </c>
      <c r="K5">
        <v>8.2100000000000009</v>
      </c>
      <c r="L5">
        <v>818.21</v>
      </c>
      <c r="M5">
        <v>11.29</v>
      </c>
      <c r="N5">
        <v>2.63</v>
      </c>
      <c r="O5">
        <v>53.4</v>
      </c>
      <c r="P5">
        <v>0</v>
      </c>
      <c r="Q5">
        <v>65.66</v>
      </c>
      <c r="R5">
        <v>76.97</v>
      </c>
      <c r="S5">
        <v>85000</v>
      </c>
      <c r="T5">
        <v>7735000</v>
      </c>
    </row>
    <row r="6" spans="1:20" x14ac:dyDescent="0.25">
      <c r="A6" t="s">
        <v>33</v>
      </c>
      <c r="B6" t="s">
        <v>34</v>
      </c>
      <c r="C6" t="s">
        <v>22</v>
      </c>
      <c r="D6" t="s">
        <v>23</v>
      </c>
      <c r="E6" t="s">
        <v>24</v>
      </c>
      <c r="F6" t="s">
        <v>25</v>
      </c>
      <c r="G6" t="s">
        <v>26</v>
      </c>
      <c r="H6">
        <v>260</v>
      </c>
      <c r="I6">
        <v>7583.43</v>
      </c>
      <c r="J6">
        <v>583.05999999999995</v>
      </c>
      <c r="K6">
        <v>7.69</v>
      </c>
      <c r="L6">
        <v>330.17</v>
      </c>
      <c r="M6">
        <v>4.3499999999999996</v>
      </c>
      <c r="N6">
        <v>2.76</v>
      </c>
      <c r="O6">
        <v>1.5</v>
      </c>
      <c r="P6">
        <v>0</v>
      </c>
      <c r="Q6">
        <v>66.66</v>
      </c>
      <c r="R6">
        <v>75.38</v>
      </c>
      <c r="S6">
        <v>85000</v>
      </c>
      <c r="T6">
        <v>7735000</v>
      </c>
    </row>
    <row r="7" spans="1:20" x14ac:dyDescent="0.25">
      <c r="A7" t="s">
        <v>35</v>
      </c>
      <c r="B7" t="s">
        <v>36</v>
      </c>
      <c r="C7" t="s">
        <v>37</v>
      </c>
      <c r="D7" t="s">
        <v>23</v>
      </c>
      <c r="E7" t="s">
        <v>24</v>
      </c>
      <c r="F7" t="s">
        <v>25</v>
      </c>
      <c r="G7" t="s">
        <v>26</v>
      </c>
      <c r="H7">
        <v>260</v>
      </c>
      <c r="I7">
        <v>1860.68</v>
      </c>
      <c r="J7">
        <v>183.24</v>
      </c>
      <c r="K7">
        <v>9.85</v>
      </c>
      <c r="L7">
        <v>-447.05</v>
      </c>
      <c r="M7">
        <v>-24.03</v>
      </c>
      <c r="N7">
        <v>0.69</v>
      </c>
      <c r="O7">
        <v>54.7</v>
      </c>
      <c r="P7">
        <v>0</v>
      </c>
      <c r="Q7">
        <v>20.57</v>
      </c>
      <c r="R7">
        <v>23.69</v>
      </c>
      <c r="S7">
        <v>85000</v>
      </c>
      <c r="T7">
        <v>7735000</v>
      </c>
    </row>
    <row r="8" spans="1:20" x14ac:dyDescent="0.25">
      <c r="A8" t="s">
        <v>38</v>
      </c>
      <c r="B8" t="s">
        <v>39</v>
      </c>
      <c r="C8" t="s">
        <v>37</v>
      </c>
      <c r="D8" t="s">
        <v>23</v>
      </c>
      <c r="E8" t="s">
        <v>24</v>
      </c>
      <c r="F8" t="s">
        <v>25</v>
      </c>
      <c r="G8" t="s">
        <v>26</v>
      </c>
      <c r="H8">
        <v>260</v>
      </c>
      <c r="I8">
        <v>1961</v>
      </c>
      <c r="J8">
        <v>390.08</v>
      </c>
      <c r="K8">
        <v>19.89</v>
      </c>
      <c r="L8">
        <v>-792.33</v>
      </c>
      <c r="M8">
        <v>-40.4</v>
      </c>
      <c r="N8">
        <v>0.68</v>
      </c>
      <c r="O8">
        <v>33.6</v>
      </c>
      <c r="P8">
        <v>0</v>
      </c>
      <c r="Q8">
        <v>44.05</v>
      </c>
      <c r="R8">
        <v>50.43</v>
      </c>
      <c r="S8">
        <v>85000</v>
      </c>
      <c r="T8">
        <v>7735000</v>
      </c>
    </row>
    <row r="9" spans="1:20" x14ac:dyDescent="0.25">
      <c r="A9" t="s">
        <v>40</v>
      </c>
      <c r="B9" t="s">
        <v>41</v>
      </c>
      <c r="C9" t="s">
        <v>37</v>
      </c>
      <c r="D9" t="s">
        <v>23</v>
      </c>
      <c r="E9" t="s">
        <v>24</v>
      </c>
      <c r="F9" t="s">
        <v>25</v>
      </c>
      <c r="G9" t="s">
        <v>26</v>
      </c>
      <c r="H9">
        <v>260</v>
      </c>
      <c r="I9">
        <v>1558.41</v>
      </c>
      <c r="J9">
        <v>353.18</v>
      </c>
      <c r="K9">
        <v>22.66</v>
      </c>
      <c r="L9">
        <v>-536.05999999999995</v>
      </c>
      <c r="M9">
        <v>-34.4</v>
      </c>
      <c r="N9">
        <v>0.57999999999999996</v>
      </c>
      <c r="O9">
        <v>33.700000000000003</v>
      </c>
      <c r="P9">
        <v>0</v>
      </c>
      <c r="Q9">
        <v>39.950000000000003</v>
      </c>
      <c r="R9">
        <v>45.66</v>
      </c>
      <c r="S9">
        <v>85000</v>
      </c>
      <c r="T9">
        <v>7735000</v>
      </c>
    </row>
    <row r="10" spans="1:20" x14ac:dyDescent="0.25">
      <c r="A10" t="s">
        <v>42</v>
      </c>
      <c r="B10" t="s">
        <v>43</v>
      </c>
      <c r="C10" t="s">
        <v>37</v>
      </c>
      <c r="D10" t="s">
        <v>23</v>
      </c>
      <c r="E10" t="s">
        <v>24</v>
      </c>
      <c r="F10" t="s">
        <v>25</v>
      </c>
      <c r="G10" t="s">
        <v>26</v>
      </c>
      <c r="H10">
        <v>260</v>
      </c>
      <c r="I10">
        <v>2109.38</v>
      </c>
      <c r="J10">
        <v>663.43</v>
      </c>
      <c r="K10">
        <v>31.45</v>
      </c>
      <c r="L10">
        <v>-687.76</v>
      </c>
      <c r="M10">
        <v>-32.6</v>
      </c>
      <c r="N10">
        <v>0.75</v>
      </c>
      <c r="O10">
        <v>6</v>
      </c>
      <c r="P10">
        <v>0</v>
      </c>
      <c r="Q10">
        <v>75.489999999999995</v>
      </c>
      <c r="R10">
        <v>85.77</v>
      </c>
      <c r="S10">
        <v>85000</v>
      </c>
      <c r="T10">
        <v>7735000</v>
      </c>
    </row>
    <row r="11" spans="1:20" x14ac:dyDescent="0.25">
      <c r="A11" t="s">
        <v>44</v>
      </c>
      <c r="B11" t="s">
        <v>45</v>
      </c>
      <c r="C11" t="s">
        <v>37</v>
      </c>
      <c r="D11" t="s">
        <v>23</v>
      </c>
      <c r="E11" t="s">
        <v>24</v>
      </c>
      <c r="F11" t="s">
        <v>25</v>
      </c>
      <c r="G11" t="s">
        <v>26</v>
      </c>
      <c r="H11">
        <v>260</v>
      </c>
      <c r="I11">
        <v>2438.0100000000002</v>
      </c>
      <c r="J11">
        <v>703.27</v>
      </c>
      <c r="K11">
        <v>28.85</v>
      </c>
      <c r="L11">
        <v>-831.4</v>
      </c>
      <c r="M11">
        <v>-34.1</v>
      </c>
      <c r="N11">
        <v>0.89</v>
      </c>
      <c r="O11">
        <v>43.4</v>
      </c>
      <c r="P11">
        <v>3.12</v>
      </c>
      <c r="Q11">
        <v>76.83</v>
      </c>
      <c r="R11">
        <v>90.92</v>
      </c>
      <c r="S11">
        <v>85000</v>
      </c>
      <c r="T11">
        <v>7735000</v>
      </c>
    </row>
    <row r="12" spans="1:20" x14ac:dyDescent="0.25">
      <c r="A12" t="s">
        <v>46</v>
      </c>
      <c r="B12" t="s">
        <v>47</v>
      </c>
      <c r="C12" t="s">
        <v>48</v>
      </c>
      <c r="D12" t="s">
        <v>23</v>
      </c>
      <c r="E12" t="s">
        <v>24</v>
      </c>
      <c r="F12" t="s">
        <v>25</v>
      </c>
      <c r="G12" t="s">
        <v>26</v>
      </c>
      <c r="H12">
        <v>260</v>
      </c>
      <c r="I12">
        <v>5871.44</v>
      </c>
      <c r="J12">
        <v>695.53</v>
      </c>
      <c r="K12">
        <v>11.85</v>
      </c>
      <c r="L12">
        <v>-266.95</v>
      </c>
      <c r="M12">
        <v>-4.55</v>
      </c>
      <c r="N12">
        <v>2.2200000000000002</v>
      </c>
      <c r="O12">
        <v>53.9</v>
      </c>
      <c r="P12">
        <v>0</v>
      </c>
      <c r="Q12">
        <v>78.97</v>
      </c>
      <c r="R12">
        <v>89.92</v>
      </c>
      <c r="S12">
        <v>85000</v>
      </c>
      <c r="T12">
        <v>7735000</v>
      </c>
    </row>
    <row r="13" spans="1:20" x14ac:dyDescent="0.25">
      <c r="A13" t="s">
        <v>49</v>
      </c>
      <c r="B13" t="s">
        <v>50</v>
      </c>
      <c r="C13" t="s">
        <v>48</v>
      </c>
      <c r="D13" t="s">
        <v>23</v>
      </c>
      <c r="E13" t="s">
        <v>24</v>
      </c>
      <c r="F13" t="s">
        <v>25</v>
      </c>
      <c r="G13" t="s">
        <v>26</v>
      </c>
      <c r="H13">
        <v>260</v>
      </c>
      <c r="I13">
        <v>5921.45</v>
      </c>
      <c r="J13">
        <v>806.37</v>
      </c>
      <c r="K13">
        <v>13.62</v>
      </c>
      <c r="L13">
        <v>63.51</v>
      </c>
      <c r="M13">
        <v>1.07</v>
      </c>
      <c r="N13">
        <v>2.1800000000000002</v>
      </c>
      <c r="O13">
        <v>37.4</v>
      </c>
      <c r="P13">
        <v>47.75</v>
      </c>
      <c r="Q13">
        <v>86.82</v>
      </c>
      <c r="R13">
        <v>104.25</v>
      </c>
      <c r="S13">
        <v>85000</v>
      </c>
      <c r="T13">
        <v>7735000</v>
      </c>
    </row>
    <row r="14" spans="1:20" x14ac:dyDescent="0.25">
      <c r="A14" t="s">
        <v>51</v>
      </c>
      <c r="B14" t="s">
        <v>52</v>
      </c>
      <c r="C14" t="s">
        <v>48</v>
      </c>
      <c r="D14" t="s">
        <v>23</v>
      </c>
      <c r="E14" t="s">
        <v>24</v>
      </c>
      <c r="F14" t="s">
        <v>25</v>
      </c>
      <c r="G14" t="s">
        <v>26</v>
      </c>
      <c r="H14">
        <v>260</v>
      </c>
      <c r="I14">
        <v>5442.54</v>
      </c>
      <c r="J14">
        <v>629.94000000000005</v>
      </c>
      <c r="K14">
        <v>11.57</v>
      </c>
      <c r="L14">
        <v>283.23</v>
      </c>
      <c r="M14">
        <v>5.2</v>
      </c>
      <c r="N14">
        <v>1.94</v>
      </c>
      <c r="O14">
        <v>5</v>
      </c>
      <c r="P14">
        <v>0</v>
      </c>
      <c r="Q14">
        <v>72.010000000000005</v>
      </c>
      <c r="R14">
        <v>81.44</v>
      </c>
      <c r="S14">
        <v>85000</v>
      </c>
      <c r="T14">
        <v>7735000</v>
      </c>
    </row>
    <row r="15" spans="1:20" x14ac:dyDescent="0.25">
      <c r="A15" t="s">
        <v>53</v>
      </c>
      <c r="B15" t="s">
        <v>54</v>
      </c>
      <c r="C15" t="s">
        <v>55</v>
      </c>
      <c r="D15" t="s">
        <v>23</v>
      </c>
      <c r="E15" t="s">
        <v>24</v>
      </c>
      <c r="F15" t="s">
        <v>25</v>
      </c>
      <c r="G15" t="s">
        <v>26</v>
      </c>
      <c r="H15">
        <v>260</v>
      </c>
      <c r="I15">
        <v>6981.04</v>
      </c>
      <c r="J15">
        <v>1018.16</v>
      </c>
      <c r="K15">
        <v>14.58</v>
      </c>
      <c r="L15">
        <v>487.05</v>
      </c>
      <c r="M15">
        <v>6.98</v>
      </c>
      <c r="N15">
        <v>2.62</v>
      </c>
      <c r="O15">
        <v>60.6</v>
      </c>
      <c r="P15">
        <v>285.39999999999998</v>
      </c>
      <c r="Q15">
        <v>109.53</v>
      </c>
      <c r="R15">
        <v>131.63</v>
      </c>
      <c r="S15">
        <v>85000</v>
      </c>
      <c r="T15">
        <v>7735000</v>
      </c>
    </row>
    <row r="16" spans="1:20" x14ac:dyDescent="0.25">
      <c r="A16" t="s">
        <v>56</v>
      </c>
      <c r="B16" t="s">
        <v>57</v>
      </c>
      <c r="C16" t="s">
        <v>55</v>
      </c>
      <c r="D16" t="s">
        <v>23</v>
      </c>
      <c r="E16" t="s">
        <v>24</v>
      </c>
      <c r="F16" t="s">
        <v>25</v>
      </c>
      <c r="G16" t="s">
        <v>26</v>
      </c>
      <c r="H16">
        <v>260</v>
      </c>
      <c r="I16">
        <v>7741.42</v>
      </c>
      <c r="J16">
        <v>730.88</v>
      </c>
      <c r="K16">
        <v>9.44</v>
      </c>
      <c r="L16">
        <v>312.33</v>
      </c>
      <c r="M16">
        <v>4.03</v>
      </c>
      <c r="N16">
        <v>2.68</v>
      </c>
      <c r="O16">
        <v>28.2</v>
      </c>
      <c r="P16">
        <v>10.28</v>
      </c>
      <c r="Q16">
        <v>80.69</v>
      </c>
      <c r="R16">
        <v>94.49</v>
      </c>
      <c r="S16">
        <v>85000</v>
      </c>
      <c r="T16">
        <v>7735000</v>
      </c>
    </row>
    <row r="17" spans="1:20" x14ac:dyDescent="0.25">
      <c r="A17" t="s">
        <v>58</v>
      </c>
      <c r="B17" t="s">
        <v>59</v>
      </c>
      <c r="C17" t="s">
        <v>55</v>
      </c>
      <c r="D17" t="s">
        <v>23</v>
      </c>
      <c r="E17" t="s">
        <v>24</v>
      </c>
      <c r="F17" t="s">
        <v>25</v>
      </c>
      <c r="G17" t="s">
        <v>26</v>
      </c>
      <c r="H17">
        <v>260</v>
      </c>
      <c r="I17">
        <v>7161.09</v>
      </c>
      <c r="J17">
        <v>816.51</v>
      </c>
      <c r="K17">
        <v>11.4</v>
      </c>
      <c r="L17">
        <v>171.74</v>
      </c>
      <c r="M17">
        <v>2.4</v>
      </c>
      <c r="N17">
        <v>2.33</v>
      </c>
      <c r="O17">
        <v>10</v>
      </c>
      <c r="P17">
        <v>14.12</v>
      </c>
      <c r="Q17">
        <v>93.25</v>
      </c>
      <c r="R17">
        <v>105.56</v>
      </c>
      <c r="S17">
        <v>85000</v>
      </c>
      <c r="T17">
        <v>7735000</v>
      </c>
    </row>
    <row r="18" spans="1:20" x14ac:dyDescent="0.25">
      <c r="A18" t="s">
        <v>60</v>
      </c>
      <c r="B18" t="s">
        <v>61</v>
      </c>
      <c r="C18" t="s">
        <v>62</v>
      </c>
      <c r="D18" t="s">
        <v>23</v>
      </c>
      <c r="E18" t="s">
        <v>24</v>
      </c>
      <c r="F18" t="s">
        <v>25</v>
      </c>
      <c r="G18" t="s">
        <v>26</v>
      </c>
      <c r="H18">
        <v>260</v>
      </c>
      <c r="I18">
        <v>7469.28</v>
      </c>
      <c r="J18">
        <v>751.3</v>
      </c>
      <c r="K18">
        <v>10.06</v>
      </c>
      <c r="L18">
        <v>606.35</v>
      </c>
      <c r="M18">
        <v>8.1199999999999992</v>
      </c>
      <c r="N18">
        <v>2.5099999999999998</v>
      </c>
      <c r="O18">
        <v>28.9</v>
      </c>
      <c r="P18">
        <v>17.2</v>
      </c>
      <c r="Q18">
        <v>84.29</v>
      </c>
      <c r="R18">
        <v>97.13</v>
      </c>
      <c r="S18">
        <v>85000</v>
      </c>
      <c r="T18">
        <v>7735000</v>
      </c>
    </row>
    <row r="19" spans="1:20" x14ac:dyDescent="0.25">
      <c r="A19" t="s">
        <v>63</v>
      </c>
      <c r="B19" t="s">
        <v>64</v>
      </c>
      <c r="C19" t="s">
        <v>62</v>
      </c>
      <c r="D19" t="s">
        <v>23</v>
      </c>
      <c r="E19" t="s">
        <v>24</v>
      </c>
      <c r="F19" t="s">
        <v>25</v>
      </c>
      <c r="G19" t="s">
        <v>26</v>
      </c>
      <c r="H19">
        <v>260</v>
      </c>
      <c r="I19">
        <v>7193.07</v>
      </c>
      <c r="J19">
        <v>788.74</v>
      </c>
      <c r="K19">
        <v>10.97</v>
      </c>
      <c r="L19">
        <v>832.58</v>
      </c>
      <c r="M19">
        <v>11.57</v>
      </c>
      <c r="N19">
        <v>2.34</v>
      </c>
      <c r="O19">
        <v>3.6</v>
      </c>
      <c r="P19">
        <v>3.78</v>
      </c>
      <c r="Q19">
        <v>88.18</v>
      </c>
      <c r="R19">
        <v>101.97</v>
      </c>
      <c r="S19">
        <v>85000</v>
      </c>
      <c r="T19">
        <v>7735000</v>
      </c>
    </row>
    <row r="20" spans="1:20" x14ac:dyDescent="0.25">
      <c r="A20" t="s">
        <v>65</v>
      </c>
      <c r="B20" t="s">
        <v>66</v>
      </c>
      <c r="C20" t="s">
        <v>62</v>
      </c>
      <c r="D20" t="s">
        <v>23</v>
      </c>
      <c r="E20" t="s">
        <v>24</v>
      </c>
      <c r="F20" t="s">
        <v>25</v>
      </c>
      <c r="G20" t="s">
        <v>26</v>
      </c>
      <c r="H20">
        <v>260</v>
      </c>
      <c r="I20">
        <v>7500.79</v>
      </c>
      <c r="J20">
        <v>754.32</v>
      </c>
      <c r="K20">
        <v>10.06</v>
      </c>
      <c r="L20">
        <v>472.98</v>
      </c>
      <c r="M20">
        <v>6.31</v>
      </c>
      <c r="N20">
        <v>2.68</v>
      </c>
      <c r="O20">
        <v>3.8</v>
      </c>
      <c r="P20">
        <v>2.4</v>
      </c>
      <c r="Q20">
        <v>85.16</v>
      </c>
      <c r="R20">
        <v>97.52</v>
      </c>
      <c r="S20">
        <v>85000</v>
      </c>
      <c r="T20">
        <v>7735000</v>
      </c>
    </row>
    <row r="21" spans="1:20" x14ac:dyDescent="0.25">
      <c r="A21" t="s">
        <v>67</v>
      </c>
      <c r="B21" t="s">
        <v>68</v>
      </c>
      <c r="C21" t="s">
        <v>69</v>
      </c>
      <c r="D21" t="s">
        <v>23</v>
      </c>
      <c r="E21" t="s">
        <v>24</v>
      </c>
      <c r="F21" t="s">
        <v>25</v>
      </c>
      <c r="G21" t="s">
        <v>26</v>
      </c>
      <c r="H21">
        <v>260</v>
      </c>
      <c r="I21">
        <v>7120.39</v>
      </c>
      <c r="J21">
        <v>695.84</v>
      </c>
      <c r="K21">
        <v>9.77</v>
      </c>
      <c r="L21">
        <v>394.39</v>
      </c>
      <c r="M21">
        <v>5.54</v>
      </c>
      <c r="N21">
        <v>2.37</v>
      </c>
      <c r="O21">
        <v>21.4</v>
      </c>
      <c r="P21">
        <v>0</v>
      </c>
      <c r="Q21">
        <v>78.33</v>
      </c>
      <c r="R21">
        <v>89.96</v>
      </c>
      <c r="S21">
        <v>85000</v>
      </c>
      <c r="T21">
        <v>7735000</v>
      </c>
    </row>
    <row r="22" spans="1:20" x14ac:dyDescent="0.25">
      <c r="A22" t="s">
        <v>70</v>
      </c>
      <c r="B22" t="s">
        <v>71</v>
      </c>
      <c r="C22" t="s">
        <v>69</v>
      </c>
      <c r="D22" t="s">
        <v>23</v>
      </c>
      <c r="E22" t="s">
        <v>24</v>
      </c>
      <c r="F22" t="s">
        <v>25</v>
      </c>
      <c r="G22" t="s">
        <v>26</v>
      </c>
      <c r="H22">
        <v>260</v>
      </c>
      <c r="I22">
        <v>7354.22</v>
      </c>
      <c r="J22">
        <v>765.92</v>
      </c>
      <c r="K22">
        <v>10.41</v>
      </c>
      <c r="L22">
        <v>676.69</v>
      </c>
      <c r="M22">
        <v>9.1999999999999993</v>
      </c>
      <c r="N22">
        <v>2.62</v>
      </c>
      <c r="O22">
        <v>21.6</v>
      </c>
      <c r="P22">
        <v>16.579999999999998</v>
      </c>
      <c r="Q22">
        <v>84.61</v>
      </c>
      <c r="R22">
        <v>99.02</v>
      </c>
      <c r="S22">
        <v>85000</v>
      </c>
      <c r="T22">
        <v>7735000</v>
      </c>
    </row>
    <row r="23" spans="1:20" x14ac:dyDescent="0.25">
      <c r="A23" t="s">
        <v>72</v>
      </c>
      <c r="B23" t="s">
        <v>73</v>
      </c>
      <c r="C23" t="s">
        <v>69</v>
      </c>
      <c r="D23" t="s">
        <v>23</v>
      </c>
      <c r="E23" t="s">
        <v>24</v>
      </c>
      <c r="F23" t="s">
        <v>25</v>
      </c>
      <c r="G23" t="s">
        <v>26</v>
      </c>
      <c r="H23">
        <v>260</v>
      </c>
      <c r="I23">
        <v>7388.93</v>
      </c>
      <c r="J23">
        <v>787.27</v>
      </c>
      <c r="K23">
        <v>10.65</v>
      </c>
      <c r="L23">
        <v>1027.1500000000001</v>
      </c>
      <c r="M23">
        <v>13.9</v>
      </c>
      <c r="N23">
        <v>2.42</v>
      </c>
      <c r="O23">
        <v>9.9</v>
      </c>
      <c r="P23">
        <v>10.199999999999999</v>
      </c>
      <c r="Q23">
        <v>84.06</v>
      </c>
      <c r="R23">
        <v>101.78</v>
      </c>
      <c r="S23">
        <v>85000</v>
      </c>
      <c r="T23">
        <v>7735000</v>
      </c>
    </row>
    <row r="24" spans="1:20" x14ac:dyDescent="0.25">
      <c r="A24" t="s">
        <v>74</v>
      </c>
      <c r="B24" t="s">
        <v>75</v>
      </c>
      <c r="C24" t="s">
        <v>69</v>
      </c>
      <c r="D24" t="s">
        <v>23</v>
      </c>
      <c r="E24" t="s">
        <v>24</v>
      </c>
      <c r="F24" t="s">
        <v>25</v>
      </c>
      <c r="G24" t="s">
        <v>26</v>
      </c>
      <c r="H24">
        <v>260</v>
      </c>
      <c r="I24">
        <v>7681.62</v>
      </c>
      <c r="J24">
        <v>726.94</v>
      </c>
      <c r="K24">
        <v>9.4600000000000009</v>
      </c>
      <c r="L24">
        <v>622.49</v>
      </c>
      <c r="M24">
        <v>8.1</v>
      </c>
      <c r="N24">
        <v>2.86</v>
      </c>
      <c r="O24">
        <v>27.6</v>
      </c>
      <c r="P24">
        <v>8.8699999999999992</v>
      </c>
      <c r="Q24">
        <v>80.400000000000006</v>
      </c>
      <c r="R24">
        <v>93.98</v>
      </c>
      <c r="S24">
        <v>85000</v>
      </c>
      <c r="T24">
        <v>7735000</v>
      </c>
    </row>
    <row r="25" spans="1:20" x14ac:dyDescent="0.25">
      <c r="A25" t="s">
        <v>76</v>
      </c>
      <c r="B25" t="s">
        <v>77</v>
      </c>
      <c r="C25" t="s">
        <v>69</v>
      </c>
      <c r="D25" t="s">
        <v>23</v>
      </c>
      <c r="E25" t="s">
        <v>24</v>
      </c>
      <c r="F25" t="s">
        <v>25</v>
      </c>
      <c r="G25" t="s">
        <v>26</v>
      </c>
      <c r="H25">
        <v>260</v>
      </c>
      <c r="I25">
        <v>6907.94</v>
      </c>
      <c r="J25">
        <v>870.34</v>
      </c>
      <c r="K25">
        <v>12.6</v>
      </c>
      <c r="L25">
        <v>535.28</v>
      </c>
      <c r="M25">
        <v>7.75</v>
      </c>
      <c r="N25">
        <v>2.46</v>
      </c>
      <c r="O25">
        <v>29.1</v>
      </c>
      <c r="P25">
        <v>63.37</v>
      </c>
      <c r="Q25">
        <v>94.78</v>
      </c>
      <c r="R25">
        <v>112.52</v>
      </c>
      <c r="S25">
        <v>85000</v>
      </c>
      <c r="T25">
        <v>7735000</v>
      </c>
    </row>
    <row r="26" spans="1:20" x14ac:dyDescent="0.25">
      <c r="A26" t="s">
        <v>78</v>
      </c>
      <c r="B26" t="s">
        <v>79</v>
      </c>
      <c r="C26" t="s">
        <v>80</v>
      </c>
      <c r="D26" t="s">
        <v>23</v>
      </c>
      <c r="E26" t="s">
        <v>24</v>
      </c>
      <c r="F26" t="s">
        <v>25</v>
      </c>
      <c r="G26" t="s">
        <v>26</v>
      </c>
      <c r="H26">
        <v>260</v>
      </c>
      <c r="I26">
        <v>7320.43</v>
      </c>
      <c r="J26">
        <v>785.41</v>
      </c>
      <c r="K26">
        <v>10.73</v>
      </c>
      <c r="L26">
        <v>1023.63</v>
      </c>
      <c r="M26">
        <v>13.98</v>
      </c>
      <c r="N26">
        <v>2.57</v>
      </c>
      <c r="O26">
        <v>45.3</v>
      </c>
      <c r="P26">
        <v>45.62</v>
      </c>
      <c r="Q26">
        <v>85.13</v>
      </c>
      <c r="R26">
        <v>101.54</v>
      </c>
      <c r="S26">
        <v>85000</v>
      </c>
      <c r="T26">
        <v>7735000</v>
      </c>
    </row>
    <row r="27" spans="1:20" x14ac:dyDescent="0.25">
      <c r="A27" t="s">
        <v>81</v>
      </c>
      <c r="B27" t="s">
        <v>82</v>
      </c>
      <c r="C27" t="s">
        <v>80</v>
      </c>
      <c r="D27" t="s">
        <v>23</v>
      </c>
      <c r="E27" t="s">
        <v>24</v>
      </c>
      <c r="F27" t="s">
        <v>25</v>
      </c>
      <c r="G27" t="s">
        <v>26</v>
      </c>
      <c r="H27">
        <v>260</v>
      </c>
      <c r="I27">
        <v>7567.02</v>
      </c>
      <c r="J27">
        <v>931.53</v>
      </c>
      <c r="K27">
        <v>12.31</v>
      </c>
      <c r="L27">
        <v>302.81</v>
      </c>
      <c r="M27">
        <v>4</v>
      </c>
      <c r="N27">
        <v>2.66</v>
      </c>
      <c r="O27">
        <v>62.6</v>
      </c>
      <c r="P27">
        <v>197.16</v>
      </c>
      <c r="Q27">
        <v>101.77</v>
      </c>
      <c r="R27">
        <v>120.43</v>
      </c>
      <c r="S27">
        <v>85000</v>
      </c>
      <c r="T27">
        <v>7735000</v>
      </c>
    </row>
    <row r="28" spans="1:20" x14ac:dyDescent="0.25">
      <c r="A28" t="s">
        <v>83</v>
      </c>
      <c r="B28" t="s">
        <v>84</v>
      </c>
      <c r="C28" t="s">
        <v>80</v>
      </c>
      <c r="D28" t="s">
        <v>23</v>
      </c>
      <c r="E28" t="s">
        <v>24</v>
      </c>
      <c r="F28" t="s">
        <v>25</v>
      </c>
      <c r="G28" t="s">
        <v>26</v>
      </c>
      <c r="H28">
        <v>260</v>
      </c>
      <c r="I28">
        <v>7595.15</v>
      </c>
      <c r="J28">
        <v>868.02</v>
      </c>
      <c r="K28">
        <v>11.43</v>
      </c>
      <c r="L28">
        <v>562.37</v>
      </c>
      <c r="M28">
        <v>7.4</v>
      </c>
      <c r="N28">
        <v>2.57</v>
      </c>
      <c r="O28">
        <v>19.7</v>
      </c>
      <c r="P28">
        <v>42.22</v>
      </c>
      <c r="Q28">
        <v>93.24</v>
      </c>
      <c r="R28">
        <v>112.22</v>
      </c>
      <c r="S28">
        <v>85000</v>
      </c>
      <c r="T28">
        <v>7735000</v>
      </c>
    </row>
    <row r="29" spans="1:20" x14ac:dyDescent="0.25">
      <c r="A29" t="s">
        <v>85</v>
      </c>
      <c r="B29" t="s">
        <v>86</v>
      </c>
      <c r="C29" t="s">
        <v>80</v>
      </c>
      <c r="D29" t="s">
        <v>23</v>
      </c>
      <c r="E29" t="s">
        <v>24</v>
      </c>
      <c r="F29" t="s">
        <v>25</v>
      </c>
      <c r="G29" t="s">
        <v>26</v>
      </c>
      <c r="H29">
        <v>260</v>
      </c>
      <c r="I29">
        <v>7481.47</v>
      </c>
      <c r="J29">
        <v>863.77</v>
      </c>
      <c r="K29">
        <v>11.55</v>
      </c>
      <c r="L29">
        <v>372.07</v>
      </c>
      <c r="M29">
        <v>4.97</v>
      </c>
      <c r="N29">
        <v>2.4900000000000002</v>
      </c>
      <c r="O29">
        <v>32.4</v>
      </c>
      <c r="P29">
        <v>67.38</v>
      </c>
      <c r="Q29">
        <v>99.34</v>
      </c>
      <c r="R29">
        <v>111.67</v>
      </c>
      <c r="S29">
        <v>85000</v>
      </c>
      <c r="T29">
        <v>7735000</v>
      </c>
    </row>
    <row r="30" spans="1:20" x14ac:dyDescent="0.25">
      <c r="A30" t="s">
        <v>87</v>
      </c>
      <c r="B30" t="s">
        <v>88</v>
      </c>
      <c r="C30" t="s">
        <v>89</v>
      </c>
      <c r="D30" t="s">
        <v>23</v>
      </c>
      <c r="E30" t="s">
        <v>24</v>
      </c>
      <c r="F30" t="s">
        <v>25</v>
      </c>
      <c r="G30" t="s">
        <v>26</v>
      </c>
      <c r="H30">
        <v>260</v>
      </c>
      <c r="I30">
        <v>4595.08</v>
      </c>
      <c r="J30">
        <v>1135.5</v>
      </c>
      <c r="K30">
        <v>24.71</v>
      </c>
      <c r="L30">
        <v>-590.54999999999995</v>
      </c>
      <c r="M30">
        <v>-12.85</v>
      </c>
      <c r="N30">
        <v>1.69</v>
      </c>
      <c r="O30">
        <v>10.6</v>
      </c>
      <c r="P30">
        <v>75.959999999999994</v>
      </c>
      <c r="Q30">
        <v>130.88</v>
      </c>
      <c r="R30">
        <v>146.80000000000001</v>
      </c>
      <c r="S30">
        <v>85000</v>
      </c>
      <c r="T30">
        <v>7735000</v>
      </c>
    </row>
    <row r="31" spans="1:20" x14ac:dyDescent="0.25">
      <c r="A31" t="s">
        <v>20</v>
      </c>
      <c r="B31" t="s">
        <v>21</v>
      </c>
      <c r="C31" t="s">
        <v>22</v>
      </c>
      <c r="D31" t="s">
        <v>90</v>
      </c>
      <c r="E31" t="s">
        <v>91</v>
      </c>
      <c r="F31" t="s">
        <v>25</v>
      </c>
      <c r="G31" t="s">
        <v>26</v>
      </c>
      <c r="H31">
        <v>234</v>
      </c>
      <c r="I31">
        <v>4529.04</v>
      </c>
      <c r="J31">
        <v>488.65</v>
      </c>
      <c r="K31">
        <v>10.79</v>
      </c>
      <c r="L31">
        <v>576.24</v>
      </c>
      <c r="M31">
        <v>12.72</v>
      </c>
      <c r="N31">
        <v>2.37</v>
      </c>
      <c r="O31">
        <v>53.4</v>
      </c>
      <c r="P31">
        <v>0</v>
      </c>
      <c r="Q31">
        <v>63</v>
      </c>
      <c r="R31">
        <v>74.58</v>
      </c>
      <c r="S31">
        <v>72000</v>
      </c>
      <c r="T31">
        <v>6552000</v>
      </c>
    </row>
    <row r="32" spans="1:20" x14ac:dyDescent="0.25">
      <c r="A32" t="s">
        <v>27</v>
      </c>
      <c r="B32" t="s">
        <v>28</v>
      </c>
      <c r="C32" t="s">
        <v>22</v>
      </c>
      <c r="D32" t="s">
        <v>90</v>
      </c>
      <c r="E32" t="s">
        <v>91</v>
      </c>
      <c r="F32" t="s">
        <v>25</v>
      </c>
      <c r="G32" t="s">
        <v>26</v>
      </c>
      <c r="H32">
        <v>234</v>
      </c>
      <c r="I32">
        <v>4519.18</v>
      </c>
      <c r="J32">
        <v>480.52</v>
      </c>
      <c r="K32">
        <v>10.63</v>
      </c>
      <c r="L32">
        <v>207.09</v>
      </c>
      <c r="M32">
        <v>4.58</v>
      </c>
      <c r="N32">
        <v>2.23</v>
      </c>
      <c r="O32">
        <v>56.6</v>
      </c>
      <c r="P32">
        <v>0</v>
      </c>
      <c r="Q32">
        <v>64.790000000000006</v>
      </c>
      <c r="R32">
        <v>73.34</v>
      </c>
      <c r="S32">
        <v>72000</v>
      </c>
      <c r="T32">
        <v>6552000</v>
      </c>
    </row>
    <row r="33" spans="1:20" x14ac:dyDescent="0.25">
      <c r="A33" t="s">
        <v>29</v>
      </c>
      <c r="B33" t="s">
        <v>30</v>
      </c>
      <c r="C33" t="s">
        <v>22</v>
      </c>
      <c r="D33" t="s">
        <v>90</v>
      </c>
      <c r="E33" t="s">
        <v>91</v>
      </c>
      <c r="F33" t="s">
        <v>25</v>
      </c>
      <c r="G33" t="s">
        <v>26</v>
      </c>
      <c r="H33">
        <v>234</v>
      </c>
      <c r="I33">
        <v>4536.5600000000004</v>
      </c>
      <c r="J33">
        <v>465.91</v>
      </c>
      <c r="K33">
        <v>10.27</v>
      </c>
      <c r="L33">
        <v>591.66</v>
      </c>
      <c r="M33">
        <v>13.04</v>
      </c>
      <c r="N33">
        <v>2.0699999999999998</v>
      </c>
      <c r="O33">
        <v>19.399999999999999</v>
      </c>
      <c r="P33">
        <v>0</v>
      </c>
      <c r="Q33">
        <v>60.46</v>
      </c>
      <c r="R33">
        <v>71.11</v>
      </c>
      <c r="S33">
        <v>72000</v>
      </c>
      <c r="T33">
        <v>6552000</v>
      </c>
    </row>
    <row r="34" spans="1:20" x14ac:dyDescent="0.25">
      <c r="A34" t="s">
        <v>31</v>
      </c>
      <c r="B34" t="s">
        <v>32</v>
      </c>
      <c r="C34" t="s">
        <v>22</v>
      </c>
      <c r="D34" t="s">
        <v>90</v>
      </c>
      <c r="E34" t="s">
        <v>91</v>
      </c>
      <c r="F34" t="s">
        <v>25</v>
      </c>
      <c r="G34" t="s">
        <v>26</v>
      </c>
      <c r="H34">
        <v>234</v>
      </c>
      <c r="I34">
        <v>4573.1000000000004</v>
      </c>
      <c r="J34">
        <v>504.31</v>
      </c>
      <c r="K34">
        <v>11.03</v>
      </c>
      <c r="L34">
        <v>252.02</v>
      </c>
      <c r="M34">
        <v>5.51</v>
      </c>
      <c r="N34">
        <v>2.41</v>
      </c>
      <c r="O34">
        <v>26.8</v>
      </c>
      <c r="P34">
        <v>0</v>
      </c>
      <c r="Q34">
        <v>65.66</v>
      </c>
      <c r="R34">
        <v>76.97</v>
      </c>
      <c r="S34">
        <v>72000</v>
      </c>
      <c r="T34">
        <v>6552000</v>
      </c>
    </row>
    <row r="35" spans="1:20" x14ac:dyDescent="0.25">
      <c r="A35" t="s">
        <v>33</v>
      </c>
      <c r="B35" t="s">
        <v>34</v>
      </c>
      <c r="C35" t="s">
        <v>22</v>
      </c>
      <c r="D35" t="s">
        <v>90</v>
      </c>
      <c r="E35" t="s">
        <v>91</v>
      </c>
      <c r="F35" t="s">
        <v>25</v>
      </c>
      <c r="G35" t="s">
        <v>26</v>
      </c>
      <c r="H35">
        <v>234</v>
      </c>
      <c r="I35">
        <v>4508.38</v>
      </c>
      <c r="J35">
        <v>493.89</v>
      </c>
      <c r="K35">
        <v>10.95</v>
      </c>
      <c r="L35">
        <v>246.72</v>
      </c>
      <c r="M35">
        <v>5.47</v>
      </c>
      <c r="N35">
        <v>2.1800000000000002</v>
      </c>
      <c r="O35">
        <v>1.1000000000000001</v>
      </c>
      <c r="P35">
        <v>0</v>
      </c>
      <c r="Q35">
        <v>66.66</v>
      </c>
      <c r="R35">
        <v>75.38</v>
      </c>
      <c r="S35">
        <v>72000</v>
      </c>
      <c r="T35">
        <v>6552000</v>
      </c>
    </row>
    <row r="36" spans="1:20" x14ac:dyDescent="0.25">
      <c r="A36" t="s">
        <v>35</v>
      </c>
      <c r="B36" t="s">
        <v>36</v>
      </c>
      <c r="C36" t="s">
        <v>37</v>
      </c>
      <c r="D36" t="s">
        <v>90</v>
      </c>
      <c r="E36" t="s">
        <v>91</v>
      </c>
      <c r="F36" t="s">
        <v>25</v>
      </c>
      <c r="G36" t="s">
        <v>26</v>
      </c>
      <c r="H36">
        <v>234</v>
      </c>
      <c r="I36">
        <v>805.73</v>
      </c>
      <c r="J36">
        <v>155.22</v>
      </c>
      <c r="K36">
        <v>19.260000000000002</v>
      </c>
      <c r="L36">
        <v>-361.83</v>
      </c>
      <c r="M36">
        <v>-44.91</v>
      </c>
      <c r="N36">
        <v>0.36</v>
      </c>
      <c r="O36">
        <v>64.8</v>
      </c>
      <c r="P36">
        <v>0</v>
      </c>
      <c r="Q36">
        <v>20.57</v>
      </c>
      <c r="R36">
        <v>23.69</v>
      </c>
      <c r="S36">
        <v>72000</v>
      </c>
      <c r="T36">
        <v>6552000</v>
      </c>
    </row>
    <row r="37" spans="1:20" x14ac:dyDescent="0.25">
      <c r="A37" t="s">
        <v>38</v>
      </c>
      <c r="B37" t="s">
        <v>39</v>
      </c>
      <c r="C37" t="s">
        <v>37</v>
      </c>
      <c r="D37" t="s">
        <v>90</v>
      </c>
      <c r="E37" t="s">
        <v>91</v>
      </c>
      <c r="F37" t="s">
        <v>25</v>
      </c>
      <c r="G37" t="s">
        <v>26</v>
      </c>
      <c r="H37">
        <v>234</v>
      </c>
      <c r="I37">
        <v>1108.97</v>
      </c>
      <c r="J37">
        <v>330.42</v>
      </c>
      <c r="K37">
        <v>29.79</v>
      </c>
      <c r="L37">
        <v>-296.95</v>
      </c>
      <c r="M37">
        <v>-26.78</v>
      </c>
      <c r="N37">
        <v>0.56999999999999995</v>
      </c>
      <c r="O37">
        <v>57.2</v>
      </c>
      <c r="P37">
        <v>0</v>
      </c>
      <c r="Q37">
        <v>44.05</v>
      </c>
      <c r="R37">
        <v>50.43</v>
      </c>
      <c r="S37">
        <v>72000</v>
      </c>
      <c r="T37">
        <v>6552000</v>
      </c>
    </row>
    <row r="38" spans="1:20" x14ac:dyDescent="0.25">
      <c r="A38" t="s">
        <v>40</v>
      </c>
      <c r="B38" t="s">
        <v>41</v>
      </c>
      <c r="C38" t="s">
        <v>37</v>
      </c>
      <c r="D38" t="s">
        <v>90</v>
      </c>
      <c r="E38" t="s">
        <v>91</v>
      </c>
      <c r="F38" t="s">
        <v>25</v>
      </c>
      <c r="G38" t="s">
        <v>26</v>
      </c>
      <c r="H38">
        <v>234</v>
      </c>
      <c r="I38">
        <v>789.71</v>
      </c>
      <c r="J38">
        <v>299.16000000000003</v>
      </c>
      <c r="K38">
        <v>37.880000000000003</v>
      </c>
      <c r="L38">
        <v>-251.59</v>
      </c>
      <c r="M38">
        <v>-31.86</v>
      </c>
      <c r="N38">
        <v>0.37</v>
      </c>
      <c r="O38">
        <v>35.700000000000003</v>
      </c>
      <c r="P38">
        <v>0</v>
      </c>
      <c r="Q38">
        <v>39.950000000000003</v>
      </c>
      <c r="R38">
        <v>45.66</v>
      </c>
      <c r="S38">
        <v>72000</v>
      </c>
      <c r="T38">
        <v>6552000</v>
      </c>
    </row>
    <row r="39" spans="1:20" x14ac:dyDescent="0.25">
      <c r="A39" t="s">
        <v>42</v>
      </c>
      <c r="B39" t="s">
        <v>43</v>
      </c>
      <c r="C39" t="s">
        <v>37</v>
      </c>
      <c r="D39" t="s">
        <v>90</v>
      </c>
      <c r="E39" t="s">
        <v>91</v>
      </c>
      <c r="F39" t="s">
        <v>25</v>
      </c>
      <c r="G39" t="s">
        <v>26</v>
      </c>
      <c r="H39">
        <v>234</v>
      </c>
      <c r="I39">
        <v>1000.96</v>
      </c>
      <c r="J39">
        <v>561.97</v>
      </c>
      <c r="K39">
        <v>56.14</v>
      </c>
      <c r="L39">
        <v>-404.47</v>
      </c>
      <c r="M39">
        <v>-40.409999999999997</v>
      </c>
      <c r="N39">
        <v>0.51</v>
      </c>
      <c r="O39">
        <v>2.5</v>
      </c>
      <c r="P39">
        <v>0</v>
      </c>
      <c r="Q39">
        <v>75.489999999999995</v>
      </c>
      <c r="R39">
        <v>85.77</v>
      </c>
      <c r="S39">
        <v>72000</v>
      </c>
      <c r="T39">
        <v>6552000</v>
      </c>
    </row>
    <row r="40" spans="1:20" x14ac:dyDescent="0.25">
      <c r="A40" t="s">
        <v>44</v>
      </c>
      <c r="B40" t="s">
        <v>45</v>
      </c>
      <c r="C40" t="s">
        <v>37</v>
      </c>
      <c r="D40" t="s">
        <v>90</v>
      </c>
      <c r="E40" t="s">
        <v>91</v>
      </c>
      <c r="F40" t="s">
        <v>25</v>
      </c>
      <c r="G40" t="s">
        <v>26</v>
      </c>
      <c r="H40">
        <v>234</v>
      </c>
      <c r="I40">
        <v>1521.98</v>
      </c>
      <c r="J40">
        <v>595.71</v>
      </c>
      <c r="K40">
        <v>39.14</v>
      </c>
      <c r="L40">
        <v>-629.24</v>
      </c>
      <c r="M40">
        <v>-41.34</v>
      </c>
      <c r="N40">
        <v>0.76</v>
      </c>
      <c r="O40">
        <v>49</v>
      </c>
      <c r="P40">
        <v>2.98</v>
      </c>
      <c r="Q40">
        <v>76.83</v>
      </c>
      <c r="R40">
        <v>90.92</v>
      </c>
      <c r="S40">
        <v>72000</v>
      </c>
      <c r="T40">
        <v>6552000</v>
      </c>
    </row>
    <row r="41" spans="1:20" x14ac:dyDescent="0.25">
      <c r="A41" t="s">
        <v>46</v>
      </c>
      <c r="B41" t="s">
        <v>47</v>
      </c>
      <c r="C41" t="s">
        <v>48</v>
      </c>
      <c r="D41" t="s">
        <v>90</v>
      </c>
      <c r="E41" t="s">
        <v>91</v>
      </c>
      <c r="F41" t="s">
        <v>25</v>
      </c>
      <c r="G41" t="s">
        <v>26</v>
      </c>
      <c r="H41">
        <v>234</v>
      </c>
      <c r="I41">
        <v>3073.71</v>
      </c>
      <c r="J41">
        <v>589.16</v>
      </c>
      <c r="K41">
        <v>19.170000000000002</v>
      </c>
      <c r="L41">
        <v>207.25</v>
      </c>
      <c r="M41">
        <v>6.74</v>
      </c>
      <c r="N41">
        <v>1.47</v>
      </c>
      <c r="O41">
        <v>64.8</v>
      </c>
      <c r="P41">
        <v>0</v>
      </c>
      <c r="Q41">
        <v>78.97</v>
      </c>
      <c r="R41">
        <v>89.92</v>
      </c>
      <c r="S41">
        <v>72000</v>
      </c>
      <c r="T41">
        <v>6552000</v>
      </c>
    </row>
    <row r="42" spans="1:20" x14ac:dyDescent="0.25">
      <c r="A42" t="s">
        <v>49</v>
      </c>
      <c r="B42" t="s">
        <v>50</v>
      </c>
      <c r="C42" t="s">
        <v>48</v>
      </c>
      <c r="D42" t="s">
        <v>90</v>
      </c>
      <c r="E42" t="s">
        <v>91</v>
      </c>
      <c r="F42" t="s">
        <v>25</v>
      </c>
      <c r="G42" t="s">
        <v>26</v>
      </c>
      <c r="H42">
        <v>234</v>
      </c>
      <c r="I42">
        <v>3069.87</v>
      </c>
      <c r="J42">
        <v>683.05</v>
      </c>
      <c r="K42">
        <v>22.25</v>
      </c>
      <c r="L42">
        <v>132.56</v>
      </c>
      <c r="M42">
        <v>4.32</v>
      </c>
      <c r="N42">
        <v>1.4</v>
      </c>
      <c r="O42">
        <v>26.2</v>
      </c>
      <c r="P42">
        <v>28.34</v>
      </c>
      <c r="Q42">
        <v>86.82</v>
      </c>
      <c r="R42">
        <v>104.25</v>
      </c>
      <c r="S42">
        <v>72000</v>
      </c>
      <c r="T42">
        <v>6552000</v>
      </c>
    </row>
    <row r="43" spans="1:20" x14ac:dyDescent="0.25">
      <c r="A43" t="s">
        <v>51</v>
      </c>
      <c r="B43" t="s">
        <v>52</v>
      </c>
      <c r="C43" t="s">
        <v>48</v>
      </c>
      <c r="D43" t="s">
        <v>90</v>
      </c>
      <c r="E43" t="s">
        <v>91</v>
      </c>
      <c r="F43" t="s">
        <v>25</v>
      </c>
      <c r="G43" t="s">
        <v>26</v>
      </c>
      <c r="H43">
        <v>234</v>
      </c>
      <c r="I43">
        <v>3416.22</v>
      </c>
      <c r="J43">
        <v>533.59</v>
      </c>
      <c r="K43">
        <v>15.62</v>
      </c>
      <c r="L43">
        <v>9.57</v>
      </c>
      <c r="M43">
        <v>0.28000000000000003</v>
      </c>
      <c r="N43">
        <v>1.62</v>
      </c>
      <c r="O43">
        <v>49.9</v>
      </c>
      <c r="P43">
        <v>0</v>
      </c>
      <c r="Q43">
        <v>72.010000000000005</v>
      </c>
      <c r="R43">
        <v>81.44</v>
      </c>
      <c r="S43">
        <v>72000</v>
      </c>
      <c r="T43">
        <v>6552000</v>
      </c>
    </row>
    <row r="44" spans="1:20" x14ac:dyDescent="0.25">
      <c r="A44" t="s">
        <v>53</v>
      </c>
      <c r="B44" t="s">
        <v>54</v>
      </c>
      <c r="C44" t="s">
        <v>55</v>
      </c>
      <c r="D44" t="s">
        <v>90</v>
      </c>
      <c r="E44" t="s">
        <v>91</v>
      </c>
      <c r="F44" t="s">
        <v>25</v>
      </c>
      <c r="G44" t="s">
        <v>26</v>
      </c>
      <c r="H44">
        <v>234</v>
      </c>
      <c r="I44">
        <v>4920.8999999999996</v>
      </c>
      <c r="J44">
        <v>862.44</v>
      </c>
      <c r="K44">
        <v>17.53</v>
      </c>
      <c r="L44">
        <v>230.54</v>
      </c>
      <c r="M44">
        <v>4.68</v>
      </c>
      <c r="N44">
        <v>2.41</v>
      </c>
      <c r="O44">
        <v>27.4</v>
      </c>
      <c r="P44">
        <v>109.31</v>
      </c>
      <c r="Q44">
        <v>109.53</v>
      </c>
      <c r="R44">
        <v>131.63</v>
      </c>
      <c r="S44">
        <v>72000</v>
      </c>
      <c r="T44">
        <v>6552000</v>
      </c>
    </row>
    <row r="45" spans="1:20" x14ac:dyDescent="0.25">
      <c r="A45" t="s">
        <v>56</v>
      </c>
      <c r="B45" t="s">
        <v>57</v>
      </c>
      <c r="C45" t="s">
        <v>55</v>
      </c>
      <c r="D45" t="s">
        <v>90</v>
      </c>
      <c r="E45" t="s">
        <v>91</v>
      </c>
      <c r="F45" t="s">
        <v>25</v>
      </c>
      <c r="G45" t="s">
        <v>26</v>
      </c>
      <c r="H45">
        <v>234</v>
      </c>
      <c r="I45">
        <v>4711.5</v>
      </c>
      <c r="J45">
        <v>619.1</v>
      </c>
      <c r="K45">
        <v>13.14</v>
      </c>
      <c r="L45">
        <v>150.87</v>
      </c>
      <c r="M45">
        <v>3.2</v>
      </c>
      <c r="N45">
        <v>2.4500000000000002</v>
      </c>
      <c r="O45">
        <v>51.8</v>
      </c>
      <c r="P45">
        <v>16</v>
      </c>
      <c r="Q45">
        <v>80.69</v>
      </c>
      <c r="R45">
        <v>94.49</v>
      </c>
      <c r="S45">
        <v>72000</v>
      </c>
      <c r="T45">
        <v>6552000</v>
      </c>
    </row>
    <row r="46" spans="1:20" x14ac:dyDescent="0.25">
      <c r="A46" t="s">
        <v>58</v>
      </c>
      <c r="B46" t="s">
        <v>59</v>
      </c>
      <c r="C46" t="s">
        <v>55</v>
      </c>
      <c r="D46" t="s">
        <v>90</v>
      </c>
      <c r="E46" t="s">
        <v>91</v>
      </c>
      <c r="F46" t="s">
        <v>25</v>
      </c>
      <c r="G46" t="s">
        <v>26</v>
      </c>
      <c r="H46">
        <v>234</v>
      </c>
      <c r="I46">
        <v>4708.63</v>
      </c>
      <c r="J46">
        <v>691.63</v>
      </c>
      <c r="K46">
        <v>14.69</v>
      </c>
      <c r="L46">
        <v>375.24</v>
      </c>
      <c r="M46">
        <v>7.97</v>
      </c>
      <c r="N46">
        <v>2.54</v>
      </c>
      <c r="O46">
        <v>60</v>
      </c>
      <c r="P46">
        <v>71.739999999999995</v>
      </c>
      <c r="Q46">
        <v>93.25</v>
      </c>
      <c r="R46">
        <v>105.56</v>
      </c>
      <c r="S46">
        <v>72000</v>
      </c>
      <c r="T46">
        <v>6552000</v>
      </c>
    </row>
    <row r="47" spans="1:20" x14ac:dyDescent="0.25">
      <c r="A47" t="s">
        <v>60</v>
      </c>
      <c r="B47" t="s">
        <v>61</v>
      </c>
      <c r="C47" t="s">
        <v>62</v>
      </c>
      <c r="D47" t="s">
        <v>90</v>
      </c>
      <c r="E47" t="s">
        <v>91</v>
      </c>
      <c r="F47" t="s">
        <v>25</v>
      </c>
      <c r="G47" t="s">
        <v>26</v>
      </c>
      <c r="H47">
        <v>234</v>
      </c>
      <c r="I47">
        <v>4761.38</v>
      </c>
      <c r="J47">
        <v>636.4</v>
      </c>
      <c r="K47">
        <v>13.37</v>
      </c>
      <c r="L47">
        <v>433.95</v>
      </c>
      <c r="M47">
        <v>9.11</v>
      </c>
      <c r="N47">
        <v>2.35</v>
      </c>
      <c r="O47">
        <v>30.3</v>
      </c>
      <c r="P47">
        <v>15.28</v>
      </c>
      <c r="Q47">
        <v>84.29</v>
      </c>
      <c r="R47">
        <v>97.13</v>
      </c>
      <c r="S47">
        <v>72000</v>
      </c>
      <c r="T47">
        <v>6552000</v>
      </c>
    </row>
    <row r="48" spans="1:20" x14ac:dyDescent="0.25">
      <c r="A48" t="s">
        <v>63</v>
      </c>
      <c r="B48" t="s">
        <v>64</v>
      </c>
      <c r="C48" t="s">
        <v>62</v>
      </c>
      <c r="D48" t="s">
        <v>90</v>
      </c>
      <c r="E48" t="s">
        <v>91</v>
      </c>
      <c r="F48" t="s">
        <v>25</v>
      </c>
      <c r="G48" t="s">
        <v>26</v>
      </c>
      <c r="H48">
        <v>234</v>
      </c>
      <c r="I48">
        <v>4682.49</v>
      </c>
      <c r="J48">
        <v>668.11</v>
      </c>
      <c r="K48">
        <v>14.27</v>
      </c>
      <c r="L48">
        <v>530.07000000000005</v>
      </c>
      <c r="M48">
        <v>11.32</v>
      </c>
      <c r="N48">
        <v>2.52</v>
      </c>
      <c r="O48">
        <v>2.9</v>
      </c>
      <c r="P48">
        <v>2.58</v>
      </c>
      <c r="Q48">
        <v>88.18</v>
      </c>
      <c r="R48">
        <v>101.97</v>
      </c>
      <c r="S48">
        <v>72000</v>
      </c>
      <c r="T48">
        <v>6552000</v>
      </c>
    </row>
    <row r="49" spans="1:20" x14ac:dyDescent="0.25">
      <c r="A49" t="s">
        <v>65</v>
      </c>
      <c r="B49" t="s">
        <v>66</v>
      </c>
      <c r="C49" t="s">
        <v>62</v>
      </c>
      <c r="D49" t="s">
        <v>90</v>
      </c>
      <c r="E49" t="s">
        <v>91</v>
      </c>
      <c r="F49" t="s">
        <v>25</v>
      </c>
      <c r="G49" t="s">
        <v>26</v>
      </c>
      <c r="H49">
        <v>234</v>
      </c>
      <c r="I49">
        <v>4532.1499999999996</v>
      </c>
      <c r="J49">
        <v>638.95000000000005</v>
      </c>
      <c r="K49">
        <v>14.1</v>
      </c>
      <c r="L49">
        <v>276.56</v>
      </c>
      <c r="M49">
        <v>6.1</v>
      </c>
      <c r="N49">
        <v>2.37</v>
      </c>
      <c r="O49">
        <v>27.3</v>
      </c>
      <c r="P49">
        <v>14.57</v>
      </c>
      <c r="Q49">
        <v>85.16</v>
      </c>
      <c r="R49">
        <v>97.52</v>
      </c>
      <c r="S49">
        <v>72000</v>
      </c>
      <c r="T49">
        <v>6552000</v>
      </c>
    </row>
    <row r="50" spans="1:20" x14ac:dyDescent="0.25">
      <c r="A50" t="s">
        <v>67</v>
      </c>
      <c r="B50" t="s">
        <v>68</v>
      </c>
      <c r="C50" t="s">
        <v>69</v>
      </c>
      <c r="D50" t="s">
        <v>90</v>
      </c>
      <c r="E50" t="s">
        <v>91</v>
      </c>
      <c r="F50" t="s">
        <v>25</v>
      </c>
      <c r="G50" t="s">
        <v>26</v>
      </c>
      <c r="H50">
        <v>234</v>
      </c>
      <c r="I50">
        <v>4709.49</v>
      </c>
      <c r="J50">
        <v>589.41999999999996</v>
      </c>
      <c r="K50">
        <v>12.52</v>
      </c>
      <c r="L50">
        <v>409.33</v>
      </c>
      <c r="M50">
        <v>8.69</v>
      </c>
      <c r="N50">
        <v>2.4700000000000002</v>
      </c>
      <c r="O50">
        <v>32.5</v>
      </c>
      <c r="P50">
        <v>0</v>
      </c>
      <c r="Q50">
        <v>78.33</v>
      </c>
      <c r="R50">
        <v>89.96</v>
      </c>
      <c r="S50">
        <v>72000</v>
      </c>
      <c r="T50">
        <v>6552000</v>
      </c>
    </row>
    <row r="51" spans="1:20" x14ac:dyDescent="0.25">
      <c r="A51" t="s">
        <v>70</v>
      </c>
      <c r="B51" t="s">
        <v>71</v>
      </c>
      <c r="C51" t="s">
        <v>69</v>
      </c>
      <c r="D51" t="s">
        <v>90</v>
      </c>
      <c r="E51" t="s">
        <v>91</v>
      </c>
      <c r="F51" t="s">
        <v>25</v>
      </c>
      <c r="G51" t="s">
        <v>26</v>
      </c>
      <c r="H51">
        <v>234</v>
      </c>
      <c r="I51">
        <v>4795.29</v>
      </c>
      <c r="J51">
        <v>648.78</v>
      </c>
      <c r="K51">
        <v>13.53</v>
      </c>
      <c r="L51">
        <v>201.15</v>
      </c>
      <c r="M51">
        <v>4.1900000000000004</v>
      </c>
      <c r="N51">
        <v>2.4300000000000002</v>
      </c>
      <c r="O51">
        <v>15.7</v>
      </c>
      <c r="P51">
        <v>10.210000000000001</v>
      </c>
      <c r="Q51">
        <v>84.61</v>
      </c>
      <c r="R51">
        <v>99.02</v>
      </c>
      <c r="S51">
        <v>72000</v>
      </c>
      <c r="T51">
        <v>6552000</v>
      </c>
    </row>
    <row r="52" spans="1:20" x14ac:dyDescent="0.25">
      <c r="A52" t="s">
        <v>72</v>
      </c>
      <c r="B52" t="s">
        <v>73</v>
      </c>
      <c r="C52" t="s">
        <v>69</v>
      </c>
      <c r="D52" t="s">
        <v>90</v>
      </c>
      <c r="E52" t="s">
        <v>91</v>
      </c>
      <c r="F52" t="s">
        <v>25</v>
      </c>
      <c r="G52" t="s">
        <v>26</v>
      </c>
      <c r="H52">
        <v>234</v>
      </c>
      <c r="I52">
        <v>4914.95</v>
      </c>
      <c r="J52">
        <v>666.86</v>
      </c>
      <c r="K52">
        <v>13.57</v>
      </c>
      <c r="L52">
        <v>565.98</v>
      </c>
      <c r="M52">
        <v>11.52</v>
      </c>
      <c r="N52">
        <v>2.2200000000000002</v>
      </c>
      <c r="O52">
        <v>6.7</v>
      </c>
      <c r="P52">
        <v>5.85</v>
      </c>
      <c r="Q52">
        <v>84.06</v>
      </c>
      <c r="R52">
        <v>101.78</v>
      </c>
      <c r="S52">
        <v>72000</v>
      </c>
      <c r="T52">
        <v>6552000</v>
      </c>
    </row>
    <row r="53" spans="1:20" x14ac:dyDescent="0.25">
      <c r="A53" t="s">
        <v>74</v>
      </c>
      <c r="B53" t="s">
        <v>75</v>
      </c>
      <c r="C53" t="s">
        <v>69</v>
      </c>
      <c r="D53" t="s">
        <v>90</v>
      </c>
      <c r="E53" t="s">
        <v>91</v>
      </c>
      <c r="F53" t="s">
        <v>25</v>
      </c>
      <c r="G53" t="s">
        <v>26</v>
      </c>
      <c r="H53">
        <v>234</v>
      </c>
      <c r="I53">
        <v>4569.92</v>
      </c>
      <c r="J53">
        <v>615.76</v>
      </c>
      <c r="K53">
        <v>13.47</v>
      </c>
      <c r="L53">
        <v>240.27</v>
      </c>
      <c r="M53">
        <v>5.26</v>
      </c>
      <c r="N53">
        <v>2.35</v>
      </c>
      <c r="O53">
        <v>64.099999999999994</v>
      </c>
      <c r="P53">
        <v>17.45</v>
      </c>
      <c r="Q53">
        <v>80.400000000000006</v>
      </c>
      <c r="R53">
        <v>93.98</v>
      </c>
      <c r="S53">
        <v>72000</v>
      </c>
      <c r="T53">
        <v>6552000</v>
      </c>
    </row>
    <row r="54" spans="1:20" x14ac:dyDescent="0.25">
      <c r="A54" t="s">
        <v>76</v>
      </c>
      <c r="B54" t="s">
        <v>77</v>
      </c>
      <c r="C54" t="s">
        <v>69</v>
      </c>
      <c r="D54" t="s">
        <v>90</v>
      </c>
      <c r="E54" t="s">
        <v>91</v>
      </c>
      <c r="F54" t="s">
        <v>25</v>
      </c>
      <c r="G54" t="s">
        <v>26</v>
      </c>
      <c r="H54">
        <v>234</v>
      </c>
      <c r="I54">
        <v>4787.72</v>
      </c>
      <c r="J54">
        <v>737.23</v>
      </c>
      <c r="K54">
        <v>15.4</v>
      </c>
      <c r="L54">
        <v>310.75</v>
      </c>
      <c r="M54">
        <v>6.49</v>
      </c>
      <c r="N54">
        <v>2.38</v>
      </c>
      <c r="O54">
        <v>52.4</v>
      </c>
      <c r="P54">
        <v>96.66</v>
      </c>
      <c r="Q54">
        <v>94.78</v>
      </c>
      <c r="R54">
        <v>112.52</v>
      </c>
      <c r="S54">
        <v>72000</v>
      </c>
      <c r="T54">
        <v>6552000</v>
      </c>
    </row>
    <row r="55" spans="1:20" x14ac:dyDescent="0.25">
      <c r="A55" t="s">
        <v>78</v>
      </c>
      <c r="B55" t="s">
        <v>79</v>
      </c>
      <c r="C55" t="s">
        <v>80</v>
      </c>
      <c r="D55" t="s">
        <v>90</v>
      </c>
      <c r="E55" t="s">
        <v>91</v>
      </c>
      <c r="F55" t="s">
        <v>25</v>
      </c>
      <c r="G55" t="s">
        <v>26</v>
      </c>
      <c r="H55">
        <v>234</v>
      </c>
      <c r="I55">
        <v>4972.28</v>
      </c>
      <c r="J55">
        <v>665.29</v>
      </c>
      <c r="K55">
        <v>13.38</v>
      </c>
      <c r="L55">
        <v>201.41</v>
      </c>
      <c r="M55">
        <v>4.05</v>
      </c>
      <c r="N55">
        <v>2.4500000000000002</v>
      </c>
      <c r="O55">
        <v>29.5</v>
      </c>
      <c r="P55">
        <v>25.16</v>
      </c>
      <c r="Q55">
        <v>85.13</v>
      </c>
      <c r="R55">
        <v>101.54</v>
      </c>
      <c r="S55">
        <v>72000</v>
      </c>
      <c r="T55">
        <v>6552000</v>
      </c>
    </row>
    <row r="56" spans="1:20" x14ac:dyDescent="0.25">
      <c r="A56" t="s">
        <v>81</v>
      </c>
      <c r="B56" t="s">
        <v>82</v>
      </c>
      <c r="C56" t="s">
        <v>80</v>
      </c>
      <c r="D56" t="s">
        <v>90</v>
      </c>
      <c r="E56" t="s">
        <v>91</v>
      </c>
      <c r="F56" t="s">
        <v>25</v>
      </c>
      <c r="G56" t="s">
        <v>26</v>
      </c>
      <c r="H56">
        <v>234</v>
      </c>
      <c r="I56">
        <v>4642.96</v>
      </c>
      <c r="J56">
        <v>789.06</v>
      </c>
      <c r="K56">
        <v>16.989999999999998</v>
      </c>
      <c r="L56">
        <v>419.65</v>
      </c>
      <c r="M56">
        <v>9.0399999999999991</v>
      </c>
      <c r="N56">
        <v>2.23</v>
      </c>
      <c r="O56">
        <v>22.4</v>
      </c>
      <c r="P56">
        <v>59.76</v>
      </c>
      <c r="Q56">
        <v>101.77</v>
      </c>
      <c r="R56">
        <v>120.43</v>
      </c>
      <c r="S56">
        <v>72000</v>
      </c>
      <c r="T56">
        <v>6552000</v>
      </c>
    </row>
    <row r="57" spans="1:20" x14ac:dyDescent="0.25">
      <c r="A57" t="s">
        <v>83</v>
      </c>
      <c r="B57" t="s">
        <v>84</v>
      </c>
      <c r="C57" t="s">
        <v>80</v>
      </c>
      <c r="D57" t="s">
        <v>90</v>
      </c>
      <c r="E57" t="s">
        <v>91</v>
      </c>
      <c r="F57" t="s">
        <v>25</v>
      </c>
      <c r="G57" t="s">
        <v>26</v>
      </c>
      <c r="H57">
        <v>234</v>
      </c>
      <c r="I57">
        <v>4462.78</v>
      </c>
      <c r="J57">
        <v>735.27</v>
      </c>
      <c r="K57">
        <v>16.48</v>
      </c>
      <c r="L57">
        <v>401.58</v>
      </c>
      <c r="M57">
        <v>9</v>
      </c>
      <c r="N57">
        <v>2.33</v>
      </c>
      <c r="O57">
        <v>6.8</v>
      </c>
      <c r="P57">
        <v>12.34</v>
      </c>
      <c r="Q57">
        <v>93.24</v>
      </c>
      <c r="R57">
        <v>112.22</v>
      </c>
      <c r="S57">
        <v>72000</v>
      </c>
      <c r="T57">
        <v>6552000</v>
      </c>
    </row>
    <row r="58" spans="1:20" x14ac:dyDescent="0.25">
      <c r="A58" t="s">
        <v>85</v>
      </c>
      <c r="B58" t="s">
        <v>86</v>
      </c>
      <c r="C58" t="s">
        <v>80</v>
      </c>
      <c r="D58" t="s">
        <v>90</v>
      </c>
      <c r="E58" t="s">
        <v>91</v>
      </c>
      <c r="F58" t="s">
        <v>25</v>
      </c>
      <c r="G58" t="s">
        <v>26</v>
      </c>
      <c r="H58">
        <v>234</v>
      </c>
      <c r="I58">
        <v>4837.7700000000004</v>
      </c>
      <c r="J58">
        <v>731.66</v>
      </c>
      <c r="K58">
        <v>15.12</v>
      </c>
      <c r="L58">
        <v>323.05</v>
      </c>
      <c r="M58">
        <v>6.68</v>
      </c>
      <c r="N58">
        <v>2.3199999999999998</v>
      </c>
      <c r="O58">
        <v>64.2</v>
      </c>
      <c r="P58">
        <v>113.1</v>
      </c>
      <c r="Q58">
        <v>99.34</v>
      </c>
      <c r="R58">
        <v>111.67</v>
      </c>
      <c r="S58">
        <v>72000</v>
      </c>
      <c r="T58">
        <v>6552000</v>
      </c>
    </row>
    <row r="59" spans="1:20" x14ac:dyDescent="0.25">
      <c r="A59" t="s">
        <v>87</v>
      </c>
      <c r="B59" t="s">
        <v>88</v>
      </c>
      <c r="C59" t="s">
        <v>89</v>
      </c>
      <c r="D59" t="s">
        <v>90</v>
      </c>
      <c r="E59" t="s">
        <v>91</v>
      </c>
      <c r="F59" t="s">
        <v>25</v>
      </c>
      <c r="G59" t="s">
        <v>26</v>
      </c>
      <c r="H59">
        <v>234</v>
      </c>
      <c r="I59">
        <v>3093.21</v>
      </c>
      <c r="J59">
        <v>961.83</v>
      </c>
      <c r="K59">
        <v>31.09</v>
      </c>
      <c r="L59">
        <v>-328.43</v>
      </c>
      <c r="M59">
        <v>-10.62</v>
      </c>
      <c r="N59">
        <v>1.55</v>
      </c>
      <c r="O59">
        <v>21</v>
      </c>
      <c r="P59">
        <v>127.48</v>
      </c>
      <c r="Q59">
        <v>130.88</v>
      </c>
      <c r="R59">
        <v>146.80000000000001</v>
      </c>
      <c r="S59">
        <v>72000</v>
      </c>
      <c r="T59">
        <v>6552000</v>
      </c>
    </row>
    <row r="60" spans="1:20" x14ac:dyDescent="0.25">
      <c r="A60" t="s">
        <v>20</v>
      </c>
      <c r="B60" t="s">
        <v>21</v>
      </c>
      <c r="C60" t="s">
        <v>22</v>
      </c>
      <c r="D60" t="s">
        <v>92</v>
      </c>
      <c r="E60" t="s">
        <v>24</v>
      </c>
      <c r="F60" t="s">
        <v>25</v>
      </c>
      <c r="G60" t="s">
        <v>26</v>
      </c>
      <c r="H60">
        <v>110</v>
      </c>
      <c r="I60">
        <v>2646.3</v>
      </c>
      <c r="J60">
        <v>257.89999999999998</v>
      </c>
      <c r="K60">
        <v>9.75</v>
      </c>
      <c r="L60">
        <v>226.86</v>
      </c>
      <c r="M60">
        <v>8.57</v>
      </c>
      <c r="N60">
        <v>1.18</v>
      </c>
      <c r="O60">
        <v>37.1</v>
      </c>
      <c r="P60">
        <v>0</v>
      </c>
      <c r="Q60">
        <v>63</v>
      </c>
      <c r="R60">
        <v>74.58</v>
      </c>
      <c r="S60">
        <v>38000</v>
      </c>
      <c r="T60">
        <v>3458000</v>
      </c>
    </row>
    <row r="61" spans="1:20" x14ac:dyDescent="0.25">
      <c r="A61" t="s">
        <v>27</v>
      </c>
      <c r="B61" t="s">
        <v>28</v>
      </c>
      <c r="C61" t="s">
        <v>22</v>
      </c>
      <c r="D61" t="s">
        <v>92</v>
      </c>
      <c r="E61" t="s">
        <v>24</v>
      </c>
      <c r="F61" t="s">
        <v>25</v>
      </c>
      <c r="G61" t="s">
        <v>26</v>
      </c>
      <c r="H61">
        <v>110</v>
      </c>
      <c r="I61">
        <v>2678.16</v>
      </c>
      <c r="J61">
        <v>253.61</v>
      </c>
      <c r="K61">
        <v>9.4700000000000006</v>
      </c>
      <c r="L61">
        <v>334.37</v>
      </c>
      <c r="M61">
        <v>12.49</v>
      </c>
      <c r="N61">
        <v>1.19</v>
      </c>
      <c r="O61">
        <v>26.1</v>
      </c>
      <c r="P61">
        <v>0</v>
      </c>
      <c r="Q61">
        <v>64.790000000000006</v>
      </c>
      <c r="R61">
        <v>73.34</v>
      </c>
      <c r="S61">
        <v>38000</v>
      </c>
      <c r="T61">
        <v>3458000</v>
      </c>
    </row>
    <row r="62" spans="1:20" x14ac:dyDescent="0.25">
      <c r="A62" t="s">
        <v>29</v>
      </c>
      <c r="B62" t="s">
        <v>30</v>
      </c>
      <c r="C62" t="s">
        <v>22</v>
      </c>
      <c r="D62" t="s">
        <v>92</v>
      </c>
      <c r="E62" t="s">
        <v>24</v>
      </c>
      <c r="F62" t="s">
        <v>25</v>
      </c>
      <c r="G62" t="s">
        <v>26</v>
      </c>
      <c r="H62">
        <v>110</v>
      </c>
      <c r="I62">
        <v>2544.7399999999998</v>
      </c>
      <c r="J62">
        <v>245.9</v>
      </c>
      <c r="K62">
        <v>9.66</v>
      </c>
      <c r="L62">
        <v>322.95</v>
      </c>
      <c r="M62">
        <v>12.69</v>
      </c>
      <c r="N62">
        <v>0.99</v>
      </c>
      <c r="O62">
        <v>18.2</v>
      </c>
      <c r="P62">
        <v>0</v>
      </c>
      <c r="Q62">
        <v>60.46</v>
      </c>
      <c r="R62">
        <v>71.11</v>
      </c>
      <c r="S62">
        <v>38000</v>
      </c>
      <c r="T62">
        <v>3458000</v>
      </c>
    </row>
    <row r="63" spans="1:20" x14ac:dyDescent="0.25">
      <c r="A63" t="s">
        <v>31</v>
      </c>
      <c r="B63" t="s">
        <v>32</v>
      </c>
      <c r="C63" t="s">
        <v>22</v>
      </c>
      <c r="D63" t="s">
        <v>92</v>
      </c>
      <c r="E63" t="s">
        <v>24</v>
      </c>
      <c r="F63" t="s">
        <v>25</v>
      </c>
      <c r="G63" t="s">
        <v>26</v>
      </c>
      <c r="H63">
        <v>110</v>
      </c>
      <c r="I63">
        <v>2462.61</v>
      </c>
      <c r="J63">
        <v>266.16000000000003</v>
      </c>
      <c r="K63">
        <v>10.81</v>
      </c>
      <c r="L63">
        <v>108.87</v>
      </c>
      <c r="M63">
        <v>4.42</v>
      </c>
      <c r="N63">
        <v>1.05</v>
      </c>
      <c r="O63">
        <v>58.6</v>
      </c>
      <c r="P63">
        <v>0</v>
      </c>
      <c r="Q63">
        <v>65.66</v>
      </c>
      <c r="R63">
        <v>76.97</v>
      </c>
      <c r="S63">
        <v>38000</v>
      </c>
      <c r="T63">
        <v>3458000</v>
      </c>
    </row>
    <row r="64" spans="1:20" x14ac:dyDescent="0.25">
      <c r="A64" t="s">
        <v>33</v>
      </c>
      <c r="B64" t="s">
        <v>34</v>
      </c>
      <c r="C64" t="s">
        <v>22</v>
      </c>
      <c r="D64" t="s">
        <v>92</v>
      </c>
      <c r="E64" t="s">
        <v>24</v>
      </c>
      <c r="F64" t="s">
        <v>25</v>
      </c>
      <c r="G64" t="s">
        <v>26</v>
      </c>
      <c r="H64">
        <v>110</v>
      </c>
      <c r="I64">
        <v>2465.4</v>
      </c>
      <c r="J64">
        <v>260.66000000000003</v>
      </c>
      <c r="K64">
        <v>10.57</v>
      </c>
      <c r="L64">
        <v>294.79000000000002</v>
      </c>
      <c r="M64">
        <v>11.96</v>
      </c>
      <c r="N64">
        <v>1.01</v>
      </c>
      <c r="O64">
        <v>40.200000000000003</v>
      </c>
      <c r="P64">
        <v>0</v>
      </c>
      <c r="Q64">
        <v>66.66</v>
      </c>
      <c r="R64">
        <v>75.38</v>
      </c>
      <c r="S64">
        <v>38000</v>
      </c>
      <c r="T64">
        <v>3458000</v>
      </c>
    </row>
    <row r="65" spans="1:20" x14ac:dyDescent="0.25">
      <c r="A65" t="s">
        <v>35</v>
      </c>
      <c r="B65" t="s">
        <v>36</v>
      </c>
      <c r="C65" t="s">
        <v>37</v>
      </c>
      <c r="D65" t="s">
        <v>92</v>
      </c>
      <c r="E65" t="s">
        <v>24</v>
      </c>
      <c r="F65" t="s">
        <v>25</v>
      </c>
      <c r="G65" t="s">
        <v>26</v>
      </c>
      <c r="H65">
        <v>110</v>
      </c>
      <c r="I65">
        <v>772.01</v>
      </c>
      <c r="J65">
        <v>81.92</v>
      </c>
      <c r="K65">
        <v>10.61</v>
      </c>
      <c r="L65">
        <v>-210.36</v>
      </c>
      <c r="M65">
        <v>-27.25</v>
      </c>
      <c r="N65">
        <v>0.3</v>
      </c>
      <c r="O65">
        <v>7.5</v>
      </c>
      <c r="P65">
        <v>0</v>
      </c>
      <c r="Q65">
        <v>20.57</v>
      </c>
      <c r="R65">
        <v>23.69</v>
      </c>
      <c r="S65">
        <v>38000</v>
      </c>
      <c r="T65">
        <v>3458000</v>
      </c>
    </row>
    <row r="66" spans="1:20" x14ac:dyDescent="0.25">
      <c r="A66" t="s">
        <v>38</v>
      </c>
      <c r="B66" t="s">
        <v>39</v>
      </c>
      <c r="C66" t="s">
        <v>37</v>
      </c>
      <c r="D66" t="s">
        <v>92</v>
      </c>
      <c r="E66" t="s">
        <v>24</v>
      </c>
      <c r="F66" t="s">
        <v>25</v>
      </c>
      <c r="G66" t="s">
        <v>26</v>
      </c>
      <c r="H66">
        <v>110</v>
      </c>
      <c r="I66">
        <v>853.84</v>
      </c>
      <c r="J66">
        <v>174.39</v>
      </c>
      <c r="K66">
        <v>20.420000000000002</v>
      </c>
      <c r="L66">
        <v>-367.26</v>
      </c>
      <c r="M66">
        <v>-43.01</v>
      </c>
      <c r="N66">
        <v>0.34</v>
      </c>
      <c r="O66">
        <v>28.5</v>
      </c>
      <c r="P66">
        <v>0</v>
      </c>
      <c r="Q66">
        <v>44.05</v>
      </c>
      <c r="R66">
        <v>50.43</v>
      </c>
      <c r="S66">
        <v>38000</v>
      </c>
      <c r="T66">
        <v>3458000</v>
      </c>
    </row>
    <row r="67" spans="1:20" x14ac:dyDescent="0.25">
      <c r="A67" t="s">
        <v>40</v>
      </c>
      <c r="B67" t="s">
        <v>41</v>
      </c>
      <c r="C67" t="s">
        <v>37</v>
      </c>
      <c r="D67" t="s">
        <v>92</v>
      </c>
      <c r="E67" t="s">
        <v>24</v>
      </c>
      <c r="F67" t="s">
        <v>25</v>
      </c>
      <c r="G67" t="s">
        <v>26</v>
      </c>
      <c r="H67">
        <v>110</v>
      </c>
      <c r="I67">
        <v>801.22</v>
      </c>
      <c r="J67">
        <v>157.88999999999999</v>
      </c>
      <c r="K67">
        <v>19.71</v>
      </c>
      <c r="L67">
        <v>-239.84</v>
      </c>
      <c r="M67">
        <v>-29.93</v>
      </c>
      <c r="N67">
        <v>0.34</v>
      </c>
      <c r="O67">
        <v>45</v>
      </c>
      <c r="P67">
        <v>0</v>
      </c>
      <c r="Q67">
        <v>39.950000000000003</v>
      </c>
      <c r="R67">
        <v>45.66</v>
      </c>
      <c r="S67">
        <v>38000</v>
      </c>
      <c r="T67">
        <v>3458000</v>
      </c>
    </row>
    <row r="68" spans="1:20" x14ac:dyDescent="0.25">
      <c r="A68" t="s">
        <v>42</v>
      </c>
      <c r="B68" t="s">
        <v>43</v>
      </c>
      <c r="C68" t="s">
        <v>37</v>
      </c>
      <c r="D68" t="s">
        <v>92</v>
      </c>
      <c r="E68" t="s">
        <v>24</v>
      </c>
      <c r="F68" t="s">
        <v>25</v>
      </c>
      <c r="G68" t="s">
        <v>26</v>
      </c>
      <c r="H68">
        <v>110</v>
      </c>
      <c r="I68">
        <v>791.6</v>
      </c>
      <c r="J68">
        <v>296.58999999999997</v>
      </c>
      <c r="K68">
        <v>37.47</v>
      </c>
      <c r="L68">
        <v>-310.2</v>
      </c>
      <c r="M68">
        <v>-39.19</v>
      </c>
      <c r="N68">
        <v>0.3</v>
      </c>
      <c r="O68">
        <v>8.3000000000000007</v>
      </c>
      <c r="P68">
        <v>0</v>
      </c>
      <c r="Q68">
        <v>75.489999999999995</v>
      </c>
      <c r="R68">
        <v>85.77</v>
      </c>
      <c r="S68">
        <v>38000</v>
      </c>
      <c r="T68">
        <v>3458000</v>
      </c>
    </row>
    <row r="69" spans="1:20" x14ac:dyDescent="0.25">
      <c r="A69" t="s">
        <v>44</v>
      </c>
      <c r="B69" t="s">
        <v>45</v>
      </c>
      <c r="C69" t="s">
        <v>37</v>
      </c>
      <c r="D69" t="s">
        <v>92</v>
      </c>
      <c r="E69" t="s">
        <v>24</v>
      </c>
      <c r="F69" t="s">
        <v>25</v>
      </c>
      <c r="G69" t="s">
        <v>26</v>
      </c>
      <c r="H69">
        <v>110</v>
      </c>
      <c r="I69">
        <v>466.73</v>
      </c>
      <c r="J69">
        <v>314.39999999999998</v>
      </c>
      <c r="K69">
        <v>67.36</v>
      </c>
      <c r="L69">
        <v>-205.36</v>
      </c>
      <c r="M69">
        <v>-44</v>
      </c>
      <c r="N69">
        <v>0.2</v>
      </c>
      <c r="O69">
        <v>57.5</v>
      </c>
      <c r="P69">
        <v>1.85</v>
      </c>
      <c r="Q69">
        <v>76.83</v>
      </c>
      <c r="R69">
        <v>90.92</v>
      </c>
      <c r="S69">
        <v>38000</v>
      </c>
      <c r="T69">
        <v>3458000</v>
      </c>
    </row>
    <row r="70" spans="1:20" x14ac:dyDescent="0.25">
      <c r="A70" t="s">
        <v>46</v>
      </c>
      <c r="B70" t="s">
        <v>47</v>
      </c>
      <c r="C70" t="s">
        <v>48</v>
      </c>
      <c r="D70" t="s">
        <v>92</v>
      </c>
      <c r="E70" t="s">
        <v>24</v>
      </c>
      <c r="F70" t="s">
        <v>25</v>
      </c>
      <c r="G70" t="s">
        <v>26</v>
      </c>
      <c r="H70">
        <v>110</v>
      </c>
      <c r="I70">
        <v>2019.93</v>
      </c>
      <c r="J70">
        <v>310.94</v>
      </c>
      <c r="K70">
        <v>15.39</v>
      </c>
      <c r="L70">
        <v>-51.47</v>
      </c>
      <c r="M70">
        <v>-2.5499999999999998</v>
      </c>
      <c r="N70">
        <v>0.86</v>
      </c>
      <c r="O70">
        <v>33.799999999999997</v>
      </c>
      <c r="P70">
        <v>0</v>
      </c>
      <c r="Q70">
        <v>78.97</v>
      </c>
      <c r="R70">
        <v>89.92</v>
      </c>
      <c r="S70">
        <v>38000</v>
      </c>
      <c r="T70">
        <v>3458000</v>
      </c>
    </row>
    <row r="71" spans="1:20" x14ac:dyDescent="0.25">
      <c r="A71" t="s">
        <v>49</v>
      </c>
      <c r="B71" t="s">
        <v>50</v>
      </c>
      <c r="C71" t="s">
        <v>48</v>
      </c>
      <c r="D71" t="s">
        <v>92</v>
      </c>
      <c r="E71" t="s">
        <v>24</v>
      </c>
      <c r="F71" t="s">
        <v>25</v>
      </c>
      <c r="G71" t="s">
        <v>26</v>
      </c>
      <c r="H71">
        <v>110</v>
      </c>
      <c r="I71">
        <v>2075.6799999999998</v>
      </c>
      <c r="J71">
        <v>360.5</v>
      </c>
      <c r="K71">
        <v>17.37</v>
      </c>
      <c r="L71">
        <v>150.47999999999999</v>
      </c>
      <c r="M71">
        <v>7.25</v>
      </c>
      <c r="N71">
        <v>0.91</v>
      </c>
      <c r="O71">
        <v>33.299999999999997</v>
      </c>
      <c r="P71">
        <v>19.010000000000002</v>
      </c>
      <c r="Q71">
        <v>86.82</v>
      </c>
      <c r="R71">
        <v>104.25</v>
      </c>
      <c r="S71">
        <v>38000</v>
      </c>
      <c r="T71">
        <v>3458000</v>
      </c>
    </row>
    <row r="72" spans="1:20" x14ac:dyDescent="0.25">
      <c r="A72" t="s">
        <v>51</v>
      </c>
      <c r="B72" t="s">
        <v>52</v>
      </c>
      <c r="C72" t="s">
        <v>48</v>
      </c>
      <c r="D72" t="s">
        <v>92</v>
      </c>
      <c r="E72" t="s">
        <v>24</v>
      </c>
      <c r="F72" t="s">
        <v>25</v>
      </c>
      <c r="G72" t="s">
        <v>26</v>
      </c>
      <c r="H72">
        <v>110</v>
      </c>
      <c r="I72">
        <v>1918.13</v>
      </c>
      <c r="J72">
        <v>281.62</v>
      </c>
      <c r="K72">
        <v>14.68</v>
      </c>
      <c r="L72">
        <v>105.52</v>
      </c>
      <c r="M72">
        <v>5.5</v>
      </c>
      <c r="N72">
        <v>0.74</v>
      </c>
      <c r="O72">
        <v>10</v>
      </c>
      <c r="P72">
        <v>0</v>
      </c>
      <c r="Q72">
        <v>72.010000000000005</v>
      </c>
      <c r="R72">
        <v>81.44</v>
      </c>
      <c r="S72">
        <v>38000</v>
      </c>
      <c r="T72">
        <v>3458000</v>
      </c>
    </row>
    <row r="73" spans="1:20" x14ac:dyDescent="0.25">
      <c r="A73" t="s">
        <v>53</v>
      </c>
      <c r="B73" t="s">
        <v>54</v>
      </c>
      <c r="C73" t="s">
        <v>55</v>
      </c>
      <c r="D73" t="s">
        <v>92</v>
      </c>
      <c r="E73" t="s">
        <v>24</v>
      </c>
      <c r="F73" t="s">
        <v>25</v>
      </c>
      <c r="G73" t="s">
        <v>26</v>
      </c>
      <c r="H73">
        <v>110</v>
      </c>
      <c r="I73">
        <v>2470.19</v>
      </c>
      <c r="J73">
        <v>455.18</v>
      </c>
      <c r="K73">
        <v>18.43</v>
      </c>
      <c r="L73">
        <v>197.05</v>
      </c>
      <c r="M73">
        <v>7.98</v>
      </c>
      <c r="N73">
        <v>0.94</v>
      </c>
      <c r="O73">
        <v>22.4</v>
      </c>
      <c r="P73">
        <v>47.16</v>
      </c>
      <c r="Q73">
        <v>109.53</v>
      </c>
      <c r="R73">
        <v>131.63</v>
      </c>
      <c r="S73">
        <v>38000</v>
      </c>
      <c r="T73">
        <v>3458000</v>
      </c>
    </row>
    <row r="74" spans="1:20" x14ac:dyDescent="0.25">
      <c r="A74" t="s">
        <v>56</v>
      </c>
      <c r="B74" t="s">
        <v>57</v>
      </c>
      <c r="C74" t="s">
        <v>55</v>
      </c>
      <c r="D74" t="s">
        <v>92</v>
      </c>
      <c r="E74" t="s">
        <v>24</v>
      </c>
      <c r="F74" t="s">
        <v>25</v>
      </c>
      <c r="G74" t="s">
        <v>26</v>
      </c>
      <c r="H74">
        <v>110</v>
      </c>
      <c r="I74">
        <v>2457.46</v>
      </c>
      <c r="J74">
        <v>326.75</v>
      </c>
      <c r="K74">
        <v>13.3</v>
      </c>
      <c r="L74">
        <v>144.63999999999999</v>
      </c>
      <c r="M74">
        <v>5.89</v>
      </c>
      <c r="N74">
        <v>1.02</v>
      </c>
      <c r="O74">
        <v>46.4</v>
      </c>
      <c r="P74">
        <v>7.56</v>
      </c>
      <c r="Q74">
        <v>80.69</v>
      </c>
      <c r="R74">
        <v>94.49</v>
      </c>
      <c r="S74">
        <v>38000</v>
      </c>
      <c r="T74">
        <v>3458000</v>
      </c>
    </row>
    <row r="75" spans="1:20" x14ac:dyDescent="0.25">
      <c r="A75" t="s">
        <v>58</v>
      </c>
      <c r="B75" t="s">
        <v>59</v>
      </c>
      <c r="C75" t="s">
        <v>55</v>
      </c>
      <c r="D75" t="s">
        <v>92</v>
      </c>
      <c r="E75" t="s">
        <v>24</v>
      </c>
      <c r="F75" t="s">
        <v>25</v>
      </c>
      <c r="G75" t="s">
        <v>26</v>
      </c>
      <c r="H75">
        <v>110</v>
      </c>
      <c r="I75">
        <v>2614.04</v>
      </c>
      <c r="J75">
        <v>365.03</v>
      </c>
      <c r="K75">
        <v>13.96</v>
      </c>
      <c r="L75">
        <v>241.07</v>
      </c>
      <c r="M75">
        <v>9.2200000000000006</v>
      </c>
      <c r="N75">
        <v>1.02</v>
      </c>
      <c r="O75">
        <v>28.1</v>
      </c>
      <c r="P75">
        <v>17.73</v>
      </c>
      <c r="Q75">
        <v>93.25</v>
      </c>
      <c r="R75">
        <v>105.56</v>
      </c>
      <c r="S75">
        <v>38000</v>
      </c>
      <c r="T75">
        <v>3458000</v>
      </c>
    </row>
    <row r="76" spans="1:20" x14ac:dyDescent="0.25">
      <c r="A76" t="s">
        <v>60</v>
      </c>
      <c r="B76" t="s">
        <v>61</v>
      </c>
      <c r="C76" t="s">
        <v>62</v>
      </c>
      <c r="D76" t="s">
        <v>92</v>
      </c>
      <c r="E76" t="s">
        <v>24</v>
      </c>
      <c r="F76" t="s">
        <v>25</v>
      </c>
      <c r="G76" t="s">
        <v>26</v>
      </c>
      <c r="H76">
        <v>110</v>
      </c>
      <c r="I76">
        <v>2555.13</v>
      </c>
      <c r="J76">
        <v>335.88</v>
      </c>
      <c r="K76">
        <v>13.15</v>
      </c>
      <c r="L76">
        <v>130.96</v>
      </c>
      <c r="M76">
        <v>5.13</v>
      </c>
      <c r="N76">
        <v>1</v>
      </c>
      <c r="O76">
        <v>21.9</v>
      </c>
      <c r="P76">
        <v>5.83</v>
      </c>
      <c r="Q76">
        <v>84.29</v>
      </c>
      <c r="R76">
        <v>97.13</v>
      </c>
      <c r="S76">
        <v>38000</v>
      </c>
      <c r="T76">
        <v>3458000</v>
      </c>
    </row>
    <row r="77" spans="1:20" x14ac:dyDescent="0.25">
      <c r="A77" t="s">
        <v>63</v>
      </c>
      <c r="B77" t="s">
        <v>64</v>
      </c>
      <c r="C77" t="s">
        <v>62</v>
      </c>
      <c r="D77" t="s">
        <v>92</v>
      </c>
      <c r="E77" t="s">
        <v>24</v>
      </c>
      <c r="F77" t="s">
        <v>25</v>
      </c>
      <c r="G77" t="s">
        <v>26</v>
      </c>
      <c r="H77">
        <v>110</v>
      </c>
      <c r="I77">
        <v>2666.09</v>
      </c>
      <c r="J77">
        <v>352.61</v>
      </c>
      <c r="K77">
        <v>13.23</v>
      </c>
      <c r="L77">
        <v>146.68</v>
      </c>
      <c r="M77">
        <v>5.5</v>
      </c>
      <c r="N77">
        <v>1.06</v>
      </c>
      <c r="O77">
        <v>44</v>
      </c>
      <c r="P77">
        <v>20.63</v>
      </c>
      <c r="Q77">
        <v>88.18</v>
      </c>
      <c r="R77">
        <v>101.97</v>
      </c>
      <c r="S77">
        <v>38000</v>
      </c>
      <c r="T77">
        <v>3458000</v>
      </c>
    </row>
    <row r="78" spans="1:20" x14ac:dyDescent="0.25">
      <c r="A78" t="s">
        <v>65</v>
      </c>
      <c r="B78" t="s">
        <v>66</v>
      </c>
      <c r="C78" t="s">
        <v>62</v>
      </c>
      <c r="D78" t="s">
        <v>92</v>
      </c>
      <c r="E78" t="s">
        <v>24</v>
      </c>
      <c r="F78" t="s">
        <v>25</v>
      </c>
      <c r="G78" t="s">
        <v>26</v>
      </c>
      <c r="H78">
        <v>110</v>
      </c>
      <c r="I78">
        <v>2620.29</v>
      </c>
      <c r="J78">
        <v>337.22</v>
      </c>
      <c r="K78">
        <v>12.87</v>
      </c>
      <c r="L78">
        <v>132.16999999999999</v>
      </c>
      <c r="M78">
        <v>5.04</v>
      </c>
      <c r="N78">
        <v>1.19</v>
      </c>
      <c r="O78">
        <v>9.6</v>
      </c>
      <c r="P78">
        <v>2.7</v>
      </c>
      <c r="Q78">
        <v>85.16</v>
      </c>
      <c r="R78">
        <v>97.52</v>
      </c>
      <c r="S78">
        <v>38000</v>
      </c>
      <c r="T78">
        <v>3458000</v>
      </c>
    </row>
    <row r="79" spans="1:20" x14ac:dyDescent="0.25">
      <c r="A79" t="s">
        <v>67</v>
      </c>
      <c r="B79" t="s">
        <v>68</v>
      </c>
      <c r="C79" t="s">
        <v>69</v>
      </c>
      <c r="D79" t="s">
        <v>92</v>
      </c>
      <c r="E79" t="s">
        <v>24</v>
      </c>
      <c r="F79" t="s">
        <v>25</v>
      </c>
      <c r="G79" t="s">
        <v>26</v>
      </c>
      <c r="H79">
        <v>110</v>
      </c>
      <c r="I79">
        <v>2442.86</v>
      </c>
      <c r="J79">
        <v>311.08</v>
      </c>
      <c r="K79">
        <v>12.73</v>
      </c>
      <c r="L79">
        <v>172.04</v>
      </c>
      <c r="M79">
        <v>7.04</v>
      </c>
      <c r="N79">
        <v>0.93</v>
      </c>
      <c r="O79">
        <v>2</v>
      </c>
      <c r="P79">
        <v>0</v>
      </c>
      <c r="Q79">
        <v>78.33</v>
      </c>
      <c r="R79">
        <v>89.96</v>
      </c>
      <c r="S79">
        <v>38000</v>
      </c>
      <c r="T79">
        <v>3458000</v>
      </c>
    </row>
    <row r="80" spans="1:20" x14ac:dyDescent="0.25">
      <c r="A80" t="s">
        <v>70</v>
      </c>
      <c r="B80" t="s">
        <v>71</v>
      </c>
      <c r="C80" t="s">
        <v>69</v>
      </c>
      <c r="D80" t="s">
        <v>92</v>
      </c>
      <c r="E80" t="s">
        <v>24</v>
      </c>
      <c r="F80" t="s">
        <v>25</v>
      </c>
      <c r="G80" t="s">
        <v>26</v>
      </c>
      <c r="H80">
        <v>110</v>
      </c>
      <c r="I80">
        <v>2614.35</v>
      </c>
      <c r="J80">
        <v>342.41</v>
      </c>
      <c r="K80">
        <v>13.1</v>
      </c>
      <c r="L80">
        <v>338.02</v>
      </c>
      <c r="M80">
        <v>12.93</v>
      </c>
      <c r="N80">
        <v>1.07</v>
      </c>
      <c r="O80">
        <v>19.600000000000001</v>
      </c>
      <c r="P80">
        <v>6.73</v>
      </c>
      <c r="Q80">
        <v>84.61</v>
      </c>
      <c r="R80">
        <v>99.02</v>
      </c>
      <c r="S80">
        <v>38000</v>
      </c>
      <c r="T80">
        <v>3458000</v>
      </c>
    </row>
    <row r="81" spans="1:20" x14ac:dyDescent="0.25">
      <c r="A81" t="s">
        <v>72</v>
      </c>
      <c r="B81" t="s">
        <v>73</v>
      </c>
      <c r="C81" t="s">
        <v>69</v>
      </c>
      <c r="D81" t="s">
        <v>92</v>
      </c>
      <c r="E81" t="s">
        <v>24</v>
      </c>
      <c r="F81" t="s">
        <v>25</v>
      </c>
      <c r="G81" t="s">
        <v>26</v>
      </c>
      <c r="H81">
        <v>110</v>
      </c>
      <c r="I81">
        <v>2725.7</v>
      </c>
      <c r="J81">
        <v>351.96</v>
      </c>
      <c r="K81">
        <v>12.91</v>
      </c>
      <c r="L81">
        <v>125.78</v>
      </c>
      <c r="M81">
        <v>4.6100000000000003</v>
      </c>
      <c r="N81">
        <v>1.1299999999999999</v>
      </c>
      <c r="O81">
        <v>16.399999999999999</v>
      </c>
      <c r="P81">
        <v>7.55</v>
      </c>
      <c r="Q81">
        <v>84.06</v>
      </c>
      <c r="R81">
        <v>101.78</v>
      </c>
      <c r="S81">
        <v>38000</v>
      </c>
      <c r="T81">
        <v>3458000</v>
      </c>
    </row>
    <row r="82" spans="1:20" x14ac:dyDescent="0.25">
      <c r="A82" t="s">
        <v>74</v>
      </c>
      <c r="B82" t="s">
        <v>75</v>
      </c>
      <c r="C82" t="s">
        <v>69</v>
      </c>
      <c r="D82" t="s">
        <v>92</v>
      </c>
      <c r="E82" t="s">
        <v>24</v>
      </c>
      <c r="F82" t="s">
        <v>25</v>
      </c>
      <c r="G82" t="s">
        <v>26</v>
      </c>
      <c r="H82">
        <v>110</v>
      </c>
      <c r="I82">
        <v>2549.04</v>
      </c>
      <c r="J82">
        <v>324.98</v>
      </c>
      <c r="K82">
        <v>12.75</v>
      </c>
      <c r="L82">
        <v>206.67</v>
      </c>
      <c r="M82">
        <v>8.11</v>
      </c>
      <c r="N82">
        <v>1.08</v>
      </c>
      <c r="O82">
        <v>29.5</v>
      </c>
      <c r="P82">
        <v>4.24</v>
      </c>
      <c r="Q82">
        <v>80.400000000000006</v>
      </c>
      <c r="R82">
        <v>93.98</v>
      </c>
      <c r="S82">
        <v>38000</v>
      </c>
      <c r="T82">
        <v>3458000</v>
      </c>
    </row>
    <row r="83" spans="1:20" x14ac:dyDescent="0.25">
      <c r="A83" t="s">
        <v>76</v>
      </c>
      <c r="B83" t="s">
        <v>77</v>
      </c>
      <c r="C83" t="s">
        <v>69</v>
      </c>
      <c r="D83" t="s">
        <v>92</v>
      </c>
      <c r="E83" t="s">
        <v>24</v>
      </c>
      <c r="F83" t="s">
        <v>25</v>
      </c>
      <c r="G83" t="s">
        <v>26</v>
      </c>
      <c r="H83">
        <v>110</v>
      </c>
      <c r="I83">
        <v>2750.04</v>
      </c>
      <c r="J83">
        <v>389.09</v>
      </c>
      <c r="K83">
        <v>14.15</v>
      </c>
      <c r="L83">
        <v>117.02</v>
      </c>
      <c r="M83">
        <v>4.26</v>
      </c>
      <c r="N83">
        <v>1.21</v>
      </c>
      <c r="O83">
        <v>3.3</v>
      </c>
      <c r="P83">
        <v>3.21</v>
      </c>
      <c r="Q83">
        <v>94.78</v>
      </c>
      <c r="R83">
        <v>112.52</v>
      </c>
      <c r="S83">
        <v>38000</v>
      </c>
      <c r="T83">
        <v>3458000</v>
      </c>
    </row>
    <row r="84" spans="1:20" x14ac:dyDescent="0.25">
      <c r="A84" t="s">
        <v>78</v>
      </c>
      <c r="B84" t="s">
        <v>79</v>
      </c>
      <c r="C84" t="s">
        <v>80</v>
      </c>
      <c r="D84" t="s">
        <v>92</v>
      </c>
      <c r="E84" t="s">
        <v>24</v>
      </c>
      <c r="F84" t="s">
        <v>25</v>
      </c>
      <c r="G84" t="s">
        <v>26</v>
      </c>
      <c r="H84">
        <v>110</v>
      </c>
      <c r="I84">
        <v>2565.4</v>
      </c>
      <c r="J84">
        <v>351.13</v>
      </c>
      <c r="K84">
        <v>13.69</v>
      </c>
      <c r="L84">
        <v>154.4</v>
      </c>
      <c r="M84">
        <v>6.02</v>
      </c>
      <c r="N84">
        <v>1.17</v>
      </c>
      <c r="O84">
        <v>47</v>
      </c>
      <c r="P84">
        <v>21.16</v>
      </c>
      <c r="Q84">
        <v>85.13</v>
      </c>
      <c r="R84">
        <v>101.54</v>
      </c>
      <c r="S84">
        <v>38000</v>
      </c>
      <c r="T84">
        <v>3458000</v>
      </c>
    </row>
    <row r="85" spans="1:20" x14ac:dyDescent="0.25">
      <c r="A85" t="s">
        <v>81</v>
      </c>
      <c r="B85" t="s">
        <v>82</v>
      </c>
      <c r="C85" t="s">
        <v>80</v>
      </c>
      <c r="D85" t="s">
        <v>92</v>
      </c>
      <c r="E85" t="s">
        <v>24</v>
      </c>
      <c r="F85" t="s">
        <v>25</v>
      </c>
      <c r="G85" t="s">
        <v>26</v>
      </c>
      <c r="H85">
        <v>110</v>
      </c>
      <c r="I85">
        <v>2575.9299999999998</v>
      </c>
      <c r="J85">
        <v>416.45</v>
      </c>
      <c r="K85">
        <v>16.170000000000002</v>
      </c>
      <c r="L85">
        <v>348.33</v>
      </c>
      <c r="M85">
        <v>13.52</v>
      </c>
      <c r="N85">
        <v>1.1299999999999999</v>
      </c>
      <c r="O85">
        <v>61.9</v>
      </c>
      <c r="P85">
        <v>87.16</v>
      </c>
      <c r="Q85">
        <v>101.77</v>
      </c>
      <c r="R85">
        <v>120.43</v>
      </c>
      <c r="S85">
        <v>38000</v>
      </c>
      <c r="T85">
        <v>3458000</v>
      </c>
    </row>
    <row r="86" spans="1:20" x14ac:dyDescent="0.25">
      <c r="A86" t="s">
        <v>83</v>
      </c>
      <c r="B86" t="s">
        <v>84</v>
      </c>
      <c r="C86" t="s">
        <v>80</v>
      </c>
      <c r="D86" t="s">
        <v>92</v>
      </c>
      <c r="E86" t="s">
        <v>24</v>
      </c>
      <c r="F86" t="s">
        <v>25</v>
      </c>
      <c r="G86" t="s">
        <v>26</v>
      </c>
      <c r="H86">
        <v>110</v>
      </c>
      <c r="I86">
        <v>2656.07</v>
      </c>
      <c r="J86">
        <v>388.06</v>
      </c>
      <c r="K86">
        <v>14.61</v>
      </c>
      <c r="L86">
        <v>126.88</v>
      </c>
      <c r="M86">
        <v>4.78</v>
      </c>
      <c r="N86">
        <v>1.1399999999999999</v>
      </c>
      <c r="O86">
        <v>63.7</v>
      </c>
      <c r="P86">
        <v>61.03</v>
      </c>
      <c r="Q86">
        <v>93.24</v>
      </c>
      <c r="R86">
        <v>112.22</v>
      </c>
      <c r="S86">
        <v>38000</v>
      </c>
      <c r="T86">
        <v>3458000</v>
      </c>
    </row>
    <row r="87" spans="1:20" x14ac:dyDescent="0.25">
      <c r="A87" t="s">
        <v>85</v>
      </c>
      <c r="B87" t="s">
        <v>86</v>
      </c>
      <c r="C87" t="s">
        <v>80</v>
      </c>
      <c r="D87" t="s">
        <v>92</v>
      </c>
      <c r="E87" t="s">
        <v>24</v>
      </c>
      <c r="F87" t="s">
        <v>25</v>
      </c>
      <c r="G87" t="s">
        <v>26</v>
      </c>
      <c r="H87">
        <v>110</v>
      </c>
      <c r="I87">
        <v>2493.5</v>
      </c>
      <c r="J87">
        <v>386.15</v>
      </c>
      <c r="K87">
        <v>15.49</v>
      </c>
      <c r="L87">
        <v>297.41000000000003</v>
      </c>
      <c r="M87">
        <v>11.93</v>
      </c>
      <c r="N87">
        <v>0.98</v>
      </c>
      <c r="O87">
        <v>29.4</v>
      </c>
      <c r="P87">
        <v>27.34</v>
      </c>
      <c r="Q87">
        <v>99.34</v>
      </c>
      <c r="R87">
        <v>111.67</v>
      </c>
      <c r="S87">
        <v>38000</v>
      </c>
      <c r="T87">
        <v>3458000</v>
      </c>
    </row>
    <row r="88" spans="1:20" x14ac:dyDescent="0.25">
      <c r="A88" t="s">
        <v>87</v>
      </c>
      <c r="B88" t="s">
        <v>88</v>
      </c>
      <c r="C88" t="s">
        <v>89</v>
      </c>
      <c r="D88" t="s">
        <v>92</v>
      </c>
      <c r="E88" t="s">
        <v>24</v>
      </c>
      <c r="F88" t="s">
        <v>25</v>
      </c>
      <c r="G88" t="s">
        <v>26</v>
      </c>
      <c r="H88">
        <v>110</v>
      </c>
      <c r="I88">
        <v>1328.97</v>
      </c>
      <c r="J88">
        <v>507.63</v>
      </c>
      <c r="K88">
        <v>38.200000000000003</v>
      </c>
      <c r="L88">
        <v>-241.72</v>
      </c>
      <c r="M88">
        <v>-18.190000000000001</v>
      </c>
      <c r="N88">
        <v>0.59</v>
      </c>
      <c r="O88">
        <v>2.9</v>
      </c>
      <c r="P88">
        <v>9.2899999999999991</v>
      </c>
      <c r="Q88">
        <v>130.88</v>
      </c>
      <c r="R88">
        <v>146.80000000000001</v>
      </c>
      <c r="S88">
        <v>38000</v>
      </c>
      <c r="T88">
        <v>3458000</v>
      </c>
    </row>
    <row r="89" spans="1:20" x14ac:dyDescent="0.25">
      <c r="A89" t="s">
        <v>20</v>
      </c>
      <c r="B89" t="s">
        <v>21</v>
      </c>
      <c r="C89" t="s">
        <v>22</v>
      </c>
      <c r="D89" t="s">
        <v>93</v>
      </c>
      <c r="E89" t="s">
        <v>24</v>
      </c>
      <c r="F89" t="s">
        <v>25</v>
      </c>
      <c r="G89" t="s">
        <v>94</v>
      </c>
      <c r="H89">
        <v>87</v>
      </c>
      <c r="I89">
        <v>942.04</v>
      </c>
      <c r="J89">
        <v>122.16</v>
      </c>
      <c r="K89">
        <v>12.97</v>
      </c>
      <c r="L89">
        <v>97.01</v>
      </c>
      <c r="M89">
        <v>10.3</v>
      </c>
      <c r="N89">
        <v>0.91</v>
      </c>
      <c r="O89">
        <v>13.6</v>
      </c>
      <c r="P89">
        <v>0</v>
      </c>
      <c r="Q89">
        <v>63</v>
      </c>
      <c r="R89">
        <v>74.58</v>
      </c>
      <c r="S89">
        <v>18000</v>
      </c>
      <c r="T89">
        <v>1638000</v>
      </c>
    </row>
    <row r="90" spans="1:20" x14ac:dyDescent="0.25">
      <c r="A90" t="s">
        <v>27</v>
      </c>
      <c r="B90" t="s">
        <v>28</v>
      </c>
      <c r="C90" t="s">
        <v>22</v>
      </c>
      <c r="D90" t="s">
        <v>93</v>
      </c>
      <c r="E90" t="s">
        <v>24</v>
      </c>
      <c r="F90" t="s">
        <v>25</v>
      </c>
      <c r="G90" t="s">
        <v>94</v>
      </c>
      <c r="H90">
        <v>87</v>
      </c>
      <c r="I90">
        <v>923.88</v>
      </c>
      <c r="J90">
        <v>120.13</v>
      </c>
      <c r="K90">
        <v>13</v>
      </c>
      <c r="L90">
        <v>55.77</v>
      </c>
      <c r="M90">
        <v>6.04</v>
      </c>
      <c r="N90">
        <v>0.78</v>
      </c>
      <c r="O90">
        <v>27.3</v>
      </c>
      <c r="P90">
        <v>0</v>
      </c>
      <c r="Q90">
        <v>64.790000000000006</v>
      </c>
      <c r="R90">
        <v>73.34</v>
      </c>
      <c r="S90">
        <v>18000</v>
      </c>
      <c r="T90">
        <v>1638000</v>
      </c>
    </row>
    <row r="91" spans="1:20" x14ac:dyDescent="0.25">
      <c r="A91" t="s">
        <v>29</v>
      </c>
      <c r="B91" t="s">
        <v>30</v>
      </c>
      <c r="C91" t="s">
        <v>22</v>
      </c>
      <c r="D91" t="s">
        <v>93</v>
      </c>
      <c r="E91" t="s">
        <v>24</v>
      </c>
      <c r="F91" t="s">
        <v>25</v>
      </c>
      <c r="G91" t="s">
        <v>94</v>
      </c>
      <c r="H91">
        <v>87</v>
      </c>
      <c r="I91">
        <v>1025.8399999999999</v>
      </c>
      <c r="J91">
        <v>116.48</v>
      </c>
      <c r="K91">
        <v>11.35</v>
      </c>
      <c r="L91">
        <v>94.75</v>
      </c>
      <c r="M91">
        <v>9.24</v>
      </c>
      <c r="N91">
        <v>0.87</v>
      </c>
      <c r="O91">
        <v>31.1</v>
      </c>
      <c r="P91">
        <v>0</v>
      </c>
      <c r="Q91">
        <v>60.46</v>
      </c>
      <c r="R91">
        <v>71.11</v>
      </c>
      <c r="S91">
        <v>18000</v>
      </c>
      <c r="T91">
        <v>1638000</v>
      </c>
    </row>
    <row r="92" spans="1:20" x14ac:dyDescent="0.25">
      <c r="A92" t="s">
        <v>31</v>
      </c>
      <c r="B92" t="s">
        <v>32</v>
      </c>
      <c r="C92" t="s">
        <v>22</v>
      </c>
      <c r="D92" t="s">
        <v>93</v>
      </c>
      <c r="E92" t="s">
        <v>24</v>
      </c>
      <c r="F92" t="s">
        <v>25</v>
      </c>
      <c r="G92" t="s">
        <v>94</v>
      </c>
      <c r="H92">
        <v>87</v>
      </c>
      <c r="I92">
        <v>922.04</v>
      </c>
      <c r="J92">
        <v>126.08</v>
      </c>
      <c r="K92">
        <v>13.67</v>
      </c>
      <c r="L92">
        <v>39.65</v>
      </c>
      <c r="M92">
        <v>4.3</v>
      </c>
      <c r="N92">
        <v>0.84</v>
      </c>
      <c r="O92">
        <v>12.4</v>
      </c>
      <c r="P92">
        <v>0</v>
      </c>
      <c r="Q92">
        <v>65.66</v>
      </c>
      <c r="R92">
        <v>76.97</v>
      </c>
      <c r="S92">
        <v>18000</v>
      </c>
      <c r="T92">
        <v>1638000</v>
      </c>
    </row>
    <row r="93" spans="1:20" x14ac:dyDescent="0.25">
      <c r="A93" t="s">
        <v>33</v>
      </c>
      <c r="B93" t="s">
        <v>34</v>
      </c>
      <c r="C93" t="s">
        <v>22</v>
      </c>
      <c r="D93" t="s">
        <v>93</v>
      </c>
      <c r="E93" t="s">
        <v>24</v>
      </c>
      <c r="F93" t="s">
        <v>25</v>
      </c>
      <c r="G93" t="s">
        <v>94</v>
      </c>
      <c r="H93">
        <v>87</v>
      </c>
      <c r="I93">
        <v>951.81</v>
      </c>
      <c r="J93">
        <v>123.47</v>
      </c>
      <c r="K93">
        <v>12.97</v>
      </c>
      <c r="L93">
        <v>60.07</v>
      </c>
      <c r="M93">
        <v>6.31</v>
      </c>
      <c r="N93">
        <v>0.92</v>
      </c>
      <c r="O93">
        <v>16.8</v>
      </c>
      <c r="P93">
        <v>0</v>
      </c>
      <c r="Q93">
        <v>66.66</v>
      </c>
      <c r="R93">
        <v>75.38</v>
      </c>
      <c r="S93">
        <v>18000</v>
      </c>
      <c r="T93">
        <v>1638000</v>
      </c>
    </row>
    <row r="94" spans="1:20" x14ac:dyDescent="0.25">
      <c r="A94" t="s">
        <v>35</v>
      </c>
      <c r="B94" t="s">
        <v>36</v>
      </c>
      <c r="C94" t="s">
        <v>37</v>
      </c>
      <c r="D94" t="s">
        <v>93</v>
      </c>
      <c r="E94" t="s">
        <v>24</v>
      </c>
      <c r="F94" t="s">
        <v>25</v>
      </c>
      <c r="G94" t="s">
        <v>94</v>
      </c>
      <c r="H94">
        <v>87</v>
      </c>
      <c r="I94">
        <v>227.82</v>
      </c>
      <c r="J94">
        <v>38.799999999999997</v>
      </c>
      <c r="K94">
        <v>17.03</v>
      </c>
      <c r="L94">
        <v>-89.15</v>
      </c>
      <c r="M94">
        <v>-39.130000000000003</v>
      </c>
      <c r="N94">
        <v>0.19</v>
      </c>
      <c r="O94">
        <v>22.9</v>
      </c>
      <c r="P94">
        <v>0</v>
      </c>
      <c r="Q94">
        <v>20.57</v>
      </c>
      <c r="R94">
        <v>23.69</v>
      </c>
      <c r="S94">
        <v>18000</v>
      </c>
      <c r="T94">
        <v>1638000</v>
      </c>
    </row>
    <row r="95" spans="1:20" x14ac:dyDescent="0.25">
      <c r="A95" t="s">
        <v>38</v>
      </c>
      <c r="B95" t="s">
        <v>39</v>
      </c>
      <c r="C95" t="s">
        <v>37</v>
      </c>
      <c r="D95" t="s">
        <v>93</v>
      </c>
      <c r="E95" t="s">
        <v>24</v>
      </c>
      <c r="F95" t="s">
        <v>25</v>
      </c>
      <c r="G95" t="s">
        <v>94</v>
      </c>
      <c r="H95">
        <v>87</v>
      </c>
      <c r="I95">
        <v>307.56</v>
      </c>
      <c r="J95">
        <v>82.6</v>
      </c>
      <c r="K95">
        <v>26.86</v>
      </c>
      <c r="L95">
        <v>-111.36</v>
      </c>
      <c r="M95">
        <v>-36.21</v>
      </c>
      <c r="N95">
        <v>0.28999999999999998</v>
      </c>
      <c r="O95">
        <v>6.1</v>
      </c>
      <c r="P95">
        <v>0</v>
      </c>
      <c r="Q95">
        <v>44.05</v>
      </c>
      <c r="R95">
        <v>50.43</v>
      </c>
      <c r="S95">
        <v>18000</v>
      </c>
      <c r="T95">
        <v>1638000</v>
      </c>
    </row>
    <row r="96" spans="1:20" x14ac:dyDescent="0.25">
      <c r="A96" t="s">
        <v>40</v>
      </c>
      <c r="B96" t="s">
        <v>41</v>
      </c>
      <c r="C96" t="s">
        <v>37</v>
      </c>
      <c r="D96" t="s">
        <v>93</v>
      </c>
      <c r="E96" t="s">
        <v>24</v>
      </c>
      <c r="F96" t="s">
        <v>25</v>
      </c>
      <c r="G96" t="s">
        <v>94</v>
      </c>
      <c r="H96">
        <v>87</v>
      </c>
      <c r="I96">
        <v>187.25</v>
      </c>
      <c r="J96">
        <v>74.790000000000006</v>
      </c>
      <c r="K96">
        <v>39.94</v>
      </c>
      <c r="L96">
        <v>-78.11</v>
      </c>
      <c r="M96">
        <v>-41.71</v>
      </c>
      <c r="N96">
        <v>0.16</v>
      </c>
      <c r="O96">
        <v>36.299999999999997</v>
      </c>
      <c r="P96">
        <v>0</v>
      </c>
      <c r="Q96">
        <v>39.950000000000003</v>
      </c>
      <c r="R96">
        <v>45.66</v>
      </c>
      <c r="S96">
        <v>18000</v>
      </c>
      <c r="T96">
        <v>1638000</v>
      </c>
    </row>
    <row r="97" spans="1:20" x14ac:dyDescent="0.25">
      <c r="A97" t="s">
        <v>42</v>
      </c>
      <c r="B97" t="s">
        <v>43</v>
      </c>
      <c r="C97" t="s">
        <v>37</v>
      </c>
      <c r="D97" t="s">
        <v>93</v>
      </c>
      <c r="E97" t="s">
        <v>24</v>
      </c>
      <c r="F97" t="s">
        <v>25</v>
      </c>
      <c r="G97" t="s">
        <v>94</v>
      </c>
      <c r="H97">
        <v>87</v>
      </c>
      <c r="I97">
        <v>213.47</v>
      </c>
      <c r="J97">
        <v>140.49</v>
      </c>
      <c r="K97">
        <v>65.81</v>
      </c>
      <c r="L97">
        <v>-63.86</v>
      </c>
      <c r="M97">
        <v>-29.92</v>
      </c>
      <c r="N97">
        <v>0.2</v>
      </c>
      <c r="O97">
        <v>17.600000000000001</v>
      </c>
      <c r="P97">
        <v>0</v>
      </c>
      <c r="Q97">
        <v>75.489999999999995</v>
      </c>
      <c r="R97">
        <v>85.77</v>
      </c>
      <c r="S97">
        <v>18000</v>
      </c>
      <c r="T97">
        <v>1638000</v>
      </c>
    </row>
    <row r="98" spans="1:20" x14ac:dyDescent="0.25">
      <c r="A98" t="s">
        <v>44</v>
      </c>
      <c r="B98" t="s">
        <v>45</v>
      </c>
      <c r="C98" t="s">
        <v>37</v>
      </c>
      <c r="D98" t="s">
        <v>93</v>
      </c>
      <c r="E98" t="s">
        <v>24</v>
      </c>
      <c r="F98" t="s">
        <v>25</v>
      </c>
      <c r="G98" t="s">
        <v>94</v>
      </c>
      <c r="H98">
        <v>87</v>
      </c>
      <c r="I98">
        <v>211.99</v>
      </c>
      <c r="J98">
        <v>148.93</v>
      </c>
      <c r="K98">
        <v>70.25</v>
      </c>
      <c r="L98">
        <v>-90.73</v>
      </c>
      <c r="M98">
        <v>-42.8</v>
      </c>
      <c r="N98">
        <v>0.18</v>
      </c>
      <c r="O98">
        <v>31.1</v>
      </c>
      <c r="P98">
        <v>0.47</v>
      </c>
      <c r="Q98">
        <v>76.83</v>
      </c>
      <c r="R98">
        <v>90.92</v>
      </c>
      <c r="S98">
        <v>18000</v>
      </c>
      <c r="T98">
        <v>1638000</v>
      </c>
    </row>
    <row r="99" spans="1:20" x14ac:dyDescent="0.25">
      <c r="A99" t="s">
        <v>46</v>
      </c>
      <c r="B99" t="s">
        <v>47</v>
      </c>
      <c r="C99" t="s">
        <v>48</v>
      </c>
      <c r="D99" t="s">
        <v>93</v>
      </c>
      <c r="E99" t="s">
        <v>24</v>
      </c>
      <c r="F99" t="s">
        <v>25</v>
      </c>
      <c r="G99" t="s">
        <v>94</v>
      </c>
      <c r="H99">
        <v>87</v>
      </c>
      <c r="I99">
        <v>777.98</v>
      </c>
      <c r="J99">
        <v>147.29</v>
      </c>
      <c r="K99">
        <v>18.93</v>
      </c>
      <c r="L99">
        <v>34.200000000000003</v>
      </c>
      <c r="M99">
        <v>4.4000000000000004</v>
      </c>
      <c r="N99">
        <v>0.62</v>
      </c>
      <c r="O99">
        <v>9.1</v>
      </c>
      <c r="P99">
        <v>0</v>
      </c>
      <c r="Q99">
        <v>78.97</v>
      </c>
      <c r="R99">
        <v>89.92</v>
      </c>
      <c r="S99">
        <v>18000</v>
      </c>
      <c r="T99">
        <v>1638000</v>
      </c>
    </row>
    <row r="100" spans="1:20" x14ac:dyDescent="0.25">
      <c r="A100" t="s">
        <v>49</v>
      </c>
      <c r="B100" t="s">
        <v>50</v>
      </c>
      <c r="C100" t="s">
        <v>48</v>
      </c>
      <c r="D100" t="s">
        <v>93</v>
      </c>
      <c r="E100" t="s">
        <v>24</v>
      </c>
      <c r="F100" t="s">
        <v>25</v>
      </c>
      <c r="G100" t="s">
        <v>94</v>
      </c>
      <c r="H100">
        <v>87</v>
      </c>
      <c r="I100">
        <v>756.39</v>
      </c>
      <c r="J100">
        <v>170.76</v>
      </c>
      <c r="K100">
        <v>22.58</v>
      </c>
      <c r="L100">
        <v>54.85</v>
      </c>
      <c r="M100">
        <v>7.25</v>
      </c>
      <c r="N100">
        <v>0.7</v>
      </c>
      <c r="O100">
        <v>12.9</v>
      </c>
      <c r="P100">
        <v>3.49</v>
      </c>
      <c r="Q100">
        <v>86.82</v>
      </c>
      <c r="R100">
        <v>104.25</v>
      </c>
      <c r="S100">
        <v>18000</v>
      </c>
      <c r="T100">
        <v>1638000</v>
      </c>
    </row>
    <row r="101" spans="1:20" x14ac:dyDescent="0.25">
      <c r="A101" t="s">
        <v>51</v>
      </c>
      <c r="B101" t="s">
        <v>52</v>
      </c>
      <c r="C101" t="s">
        <v>48</v>
      </c>
      <c r="D101" t="s">
        <v>93</v>
      </c>
      <c r="E101" t="s">
        <v>24</v>
      </c>
      <c r="F101" t="s">
        <v>25</v>
      </c>
      <c r="G101" t="s">
        <v>94</v>
      </c>
      <c r="H101">
        <v>87</v>
      </c>
      <c r="I101">
        <v>637.94000000000005</v>
      </c>
      <c r="J101">
        <v>133.4</v>
      </c>
      <c r="K101">
        <v>20.91</v>
      </c>
      <c r="L101">
        <v>40.840000000000003</v>
      </c>
      <c r="M101">
        <v>6.4</v>
      </c>
      <c r="N101">
        <v>0.52</v>
      </c>
      <c r="O101">
        <v>10.3</v>
      </c>
      <c r="P101">
        <v>0</v>
      </c>
      <c r="Q101">
        <v>72.010000000000005</v>
      </c>
      <c r="R101">
        <v>81.44</v>
      </c>
      <c r="S101">
        <v>18000</v>
      </c>
      <c r="T101">
        <v>1638000</v>
      </c>
    </row>
    <row r="102" spans="1:20" x14ac:dyDescent="0.25">
      <c r="A102" t="s">
        <v>53</v>
      </c>
      <c r="B102" t="s">
        <v>54</v>
      </c>
      <c r="C102" t="s">
        <v>55</v>
      </c>
      <c r="D102" t="s">
        <v>93</v>
      </c>
      <c r="E102" t="s">
        <v>24</v>
      </c>
      <c r="F102" t="s">
        <v>25</v>
      </c>
      <c r="G102" t="s">
        <v>94</v>
      </c>
      <c r="H102">
        <v>87</v>
      </c>
      <c r="I102">
        <v>968.37</v>
      </c>
      <c r="J102">
        <v>215.61</v>
      </c>
      <c r="K102">
        <v>22.27</v>
      </c>
      <c r="L102">
        <v>34.090000000000003</v>
      </c>
      <c r="M102">
        <v>3.52</v>
      </c>
      <c r="N102">
        <v>0.81</v>
      </c>
      <c r="O102">
        <v>10</v>
      </c>
      <c r="P102">
        <v>9.9700000000000006</v>
      </c>
      <c r="Q102">
        <v>109.53</v>
      </c>
      <c r="R102">
        <v>131.63</v>
      </c>
      <c r="S102">
        <v>18000</v>
      </c>
      <c r="T102">
        <v>1638000</v>
      </c>
    </row>
    <row r="103" spans="1:20" x14ac:dyDescent="0.25">
      <c r="A103" t="s">
        <v>56</v>
      </c>
      <c r="B103" t="s">
        <v>57</v>
      </c>
      <c r="C103" t="s">
        <v>55</v>
      </c>
      <c r="D103" t="s">
        <v>93</v>
      </c>
      <c r="E103" t="s">
        <v>24</v>
      </c>
      <c r="F103" t="s">
        <v>25</v>
      </c>
      <c r="G103" t="s">
        <v>94</v>
      </c>
      <c r="H103">
        <v>87</v>
      </c>
      <c r="I103">
        <v>1034.42</v>
      </c>
      <c r="J103">
        <v>154.77000000000001</v>
      </c>
      <c r="K103">
        <v>14.96</v>
      </c>
      <c r="L103">
        <v>31.03</v>
      </c>
      <c r="M103">
        <v>3</v>
      </c>
      <c r="N103">
        <v>1</v>
      </c>
      <c r="O103">
        <v>16.399999999999999</v>
      </c>
      <c r="P103">
        <v>1.27</v>
      </c>
      <c r="Q103">
        <v>80.69</v>
      </c>
      <c r="R103">
        <v>94.49</v>
      </c>
      <c r="S103">
        <v>18000</v>
      </c>
      <c r="T103">
        <v>1638000</v>
      </c>
    </row>
    <row r="104" spans="1:20" x14ac:dyDescent="0.25">
      <c r="A104" t="s">
        <v>58</v>
      </c>
      <c r="B104" t="s">
        <v>59</v>
      </c>
      <c r="C104" t="s">
        <v>55</v>
      </c>
      <c r="D104" t="s">
        <v>93</v>
      </c>
      <c r="E104" t="s">
        <v>24</v>
      </c>
      <c r="F104" t="s">
        <v>25</v>
      </c>
      <c r="G104" t="s">
        <v>94</v>
      </c>
      <c r="H104">
        <v>87</v>
      </c>
      <c r="I104">
        <v>1011.1</v>
      </c>
      <c r="J104">
        <v>172.91</v>
      </c>
      <c r="K104">
        <v>17.100000000000001</v>
      </c>
      <c r="L104">
        <v>97.07</v>
      </c>
      <c r="M104">
        <v>9.6</v>
      </c>
      <c r="N104">
        <v>0.9</v>
      </c>
      <c r="O104">
        <v>32</v>
      </c>
      <c r="P104">
        <v>9.57</v>
      </c>
      <c r="Q104">
        <v>93.25</v>
      </c>
      <c r="R104">
        <v>105.56</v>
      </c>
      <c r="S104">
        <v>18000</v>
      </c>
      <c r="T104">
        <v>1638000</v>
      </c>
    </row>
    <row r="105" spans="1:20" x14ac:dyDescent="0.25">
      <c r="A105" t="s">
        <v>60</v>
      </c>
      <c r="B105" t="s">
        <v>61</v>
      </c>
      <c r="C105" t="s">
        <v>62</v>
      </c>
      <c r="D105" t="s">
        <v>93</v>
      </c>
      <c r="E105" t="s">
        <v>24</v>
      </c>
      <c r="F105" t="s">
        <v>25</v>
      </c>
      <c r="G105" t="s">
        <v>94</v>
      </c>
      <c r="H105">
        <v>87</v>
      </c>
      <c r="I105">
        <v>935.35</v>
      </c>
      <c r="J105">
        <v>159.1</v>
      </c>
      <c r="K105">
        <v>17.010000000000002</v>
      </c>
      <c r="L105">
        <v>73.23</v>
      </c>
      <c r="M105">
        <v>7.83</v>
      </c>
      <c r="N105">
        <v>0.84</v>
      </c>
      <c r="O105">
        <v>34.799999999999997</v>
      </c>
      <c r="P105">
        <v>4.3899999999999997</v>
      </c>
      <c r="Q105">
        <v>84.29</v>
      </c>
      <c r="R105">
        <v>97.13</v>
      </c>
      <c r="S105">
        <v>18000</v>
      </c>
      <c r="T105">
        <v>1638000</v>
      </c>
    </row>
    <row r="106" spans="1:20" x14ac:dyDescent="0.25">
      <c r="A106" t="s">
        <v>63</v>
      </c>
      <c r="B106" t="s">
        <v>64</v>
      </c>
      <c r="C106" t="s">
        <v>62</v>
      </c>
      <c r="D106" t="s">
        <v>93</v>
      </c>
      <c r="E106" t="s">
        <v>24</v>
      </c>
      <c r="F106" t="s">
        <v>25</v>
      </c>
      <c r="G106" t="s">
        <v>94</v>
      </c>
      <c r="H106">
        <v>87</v>
      </c>
      <c r="I106">
        <v>979.16</v>
      </c>
      <c r="J106">
        <v>167.03</v>
      </c>
      <c r="K106">
        <v>17.059999999999999</v>
      </c>
      <c r="L106">
        <v>41.33</v>
      </c>
      <c r="M106">
        <v>4.22</v>
      </c>
      <c r="N106">
        <v>0.84</v>
      </c>
      <c r="O106">
        <v>35.299999999999997</v>
      </c>
      <c r="P106">
        <v>7.84</v>
      </c>
      <c r="Q106">
        <v>88.18</v>
      </c>
      <c r="R106">
        <v>101.97</v>
      </c>
      <c r="S106">
        <v>18000</v>
      </c>
      <c r="T106">
        <v>1638000</v>
      </c>
    </row>
    <row r="107" spans="1:20" x14ac:dyDescent="0.25">
      <c r="A107" t="s">
        <v>65</v>
      </c>
      <c r="B107" t="s">
        <v>66</v>
      </c>
      <c r="C107" t="s">
        <v>62</v>
      </c>
      <c r="D107" t="s">
        <v>93</v>
      </c>
      <c r="E107" t="s">
        <v>24</v>
      </c>
      <c r="F107" t="s">
        <v>25</v>
      </c>
      <c r="G107" t="s">
        <v>94</v>
      </c>
      <c r="H107">
        <v>87</v>
      </c>
      <c r="I107">
        <v>932.17</v>
      </c>
      <c r="J107">
        <v>159.74</v>
      </c>
      <c r="K107">
        <v>17.14</v>
      </c>
      <c r="L107">
        <v>71.58</v>
      </c>
      <c r="M107">
        <v>7.68</v>
      </c>
      <c r="N107">
        <v>0.81</v>
      </c>
      <c r="O107">
        <v>10.4</v>
      </c>
      <c r="P107">
        <v>1.39</v>
      </c>
      <c r="Q107">
        <v>85.16</v>
      </c>
      <c r="R107">
        <v>97.52</v>
      </c>
      <c r="S107">
        <v>18000</v>
      </c>
      <c r="T107">
        <v>1638000</v>
      </c>
    </row>
    <row r="108" spans="1:20" x14ac:dyDescent="0.25">
      <c r="A108" t="s">
        <v>67</v>
      </c>
      <c r="B108" t="s">
        <v>68</v>
      </c>
      <c r="C108" t="s">
        <v>69</v>
      </c>
      <c r="D108" t="s">
        <v>93</v>
      </c>
      <c r="E108" t="s">
        <v>24</v>
      </c>
      <c r="F108" t="s">
        <v>25</v>
      </c>
      <c r="G108" t="s">
        <v>94</v>
      </c>
      <c r="H108">
        <v>87</v>
      </c>
      <c r="I108">
        <v>945.7</v>
      </c>
      <c r="J108">
        <v>147.35</v>
      </c>
      <c r="K108">
        <v>15.58</v>
      </c>
      <c r="L108">
        <v>115.13</v>
      </c>
      <c r="M108">
        <v>12.17</v>
      </c>
      <c r="N108">
        <v>0.9</v>
      </c>
      <c r="O108">
        <v>25.3</v>
      </c>
      <c r="P108">
        <v>0</v>
      </c>
      <c r="Q108">
        <v>78.33</v>
      </c>
      <c r="R108">
        <v>89.96</v>
      </c>
      <c r="S108">
        <v>18000</v>
      </c>
      <c r="T108">
        <v>1638000</v>
      </c>
    </row>
    <row r="109" spans="1:20" x14ac:dyDescent="0.25">
      <c r="A109" t="s">
        <v>70</v>
      </c>
      <c r="B109" t="s">
        <v>71</v>
      </c>
      <c r="C109" t="s">
        <v>69</v>
      </c>
      <c r="D109" t="s">
        <v>93</v>
      </c>
      <c r="E109" t="s">
        <v>24</v>
      </c>
      <c r="F109" t="s">
        <v>25</v>
      </c>
      <c r="G109" t="s">
        <v>94</v>
      </c>
      <c r="H109">
        <v>87</v>
      </c>
      <c r="I109">
        <v>986.32</v>
      </c>
      <c r="J109">
        <v>162.19</v>
      </c>
      <c r="K109">
        <v>16.440000000000001</v>
      </c>
      <c r="L109">
        <v>92.18</v>
      </c>
      <c r="M109">
        <v>9.35</v>
      </c>
      <c r="N109">
        <v>0.8</v>
      </c>
      <c r="O109">
        <v>29.4</v>
      </c>
      <c r="P109">
        <v>4.78</v>
      </c>
      <c r="Q109">
        <v>84.61</v>
      </c>
      <c r="R109">
        <v>99.02</v>
      </c>
      <c r="S109">
        <v>18000</v>
      </c>
      <c r="T109">
        <v>1638000</v>
      </c>
    </row>
    <row r="110" spans="1:20" x14ac:dyDescent="0.25">
      <c r="A110" t="s">
        <v>72</v>
      </c>
      <c r="B110" t="s">
        <v>73</v>
      </c>
      <c r="C110" t="s">
        <v>69</v>
      </c>
      <c r="D110" t="s">
        <v>93</v>
      </c>
      <c r="E110" t="s">
        <v>24</v>
      </c>
      <c r="F110" t="s">
        <v>25</v>
      </c>
      <c r="G110" t="s">
        <v>94</v>
      </c>
      <c r="H110">
        <v>87</v>
      </c>
      <c r="I110">
        <v>1025.57</v>
      </c>
      <c r="J110">
        <v>166.72</v>
      </c>
      <c r="K110">
        <v>16.260000000000002</v>
      </c>
      <c r="L110">
        <v>64.39</v>
      </c>
      <c r="M110">
        <v>6.28</v>
      </c>
      <c r="N110">
        <v>1</v>
      </c>
      <c r="O110">
        <v>39.9</v>
      </c>
      <c r="P110">
        <v>8.7100000000000009</v>
      </c>
      <c r="Q110">
        <v>84.06</v>
      </c>
      <c r="R110">
        <v>101.78</v>
      </c>
      <c r="S110">
        <v>18000</v>
      </c>
      <c r="T110">
        <v>1638000</v>
      </c>
    </row>
    <row r="111" spans="1:20" x14ac:dyDescent="0.25">
      <c r="A111" t="s">
        <v>74</v>
      </c>
      <c r="B111" t="s">
        <v>75</v>
      </c>
      <c r="C111" t="s">
        <v>69</v>
      </c>
      <c r="D111" t="s">
        <v>93</v>
      </c>
      <c r="E111" t="s">
        <v>24</v>
      </c>
      <c r="F111" t="s">
        <v>25</v>
      </c>
      <c r="G111" t="s">
        <v>94</v>
      </c>
      <c r="H111">
        <v>87</v>
      </c>
      <c r="I111">
        <v>919.98</v>
      </c>
      <c r="J111">
        <v>153.94</v>
      </c>
      <c r="K111">
        <v>16.73</v>
      </c>
      <c r="L111">
        <v>122</v>
      </c>
      <c r="M111">
        <v>13.26</v>
      </c>
      <c r="N111">
        <v>0.85</v>
      </c>
      <c r="O111">
        <v>21.3</v>
      </c>
      <c r="P111">
        <v>1.45</v>
      </c>
      <c r="Q111">
        <v>80.400000000000006</v>
      </c>
      <c r="R111">
        <v>93.98</v>
      </c>
      <c r="S111">
        <v>18000</v>
      </c>
      <c r="T111">
        <v>1638000</v>
      </c>
    </row>
    <row r="112" spans="1:20" x14ac:dyDescent="0.25">
      <c r="A112" t="s">
        <v>76</v>
      </c>
      <c r="B112" t="s">
        <v>77</v>
      </c>
      <c r="C112" t="s">
        <v>69</v>
      </c>
      <c r="D112" t="s">
        <v>93</v>
      </c>
      <c r="E112" t="s">
        <v>24</v>
      </c>
      <c r="F112" t="s">
        <v>25</v>
      </c>
      <c r="G112" t="s">
        <v>94</v>
      </c>
      <c r="H112">
        <v>87</v>
      </c>
      <c r="I112">
        <v>945.07</v>
      </c>
      <c r="J112">
        <v>184.31</v>
      </c>
      <c r="K112">
        <v>19.5</v>
      </c>
      <c r="L112">
        <v>97.32</v>
      </c>
      <c r="M112">
        <v>10.3</v>
      </c>
      <c r="N112">
        <v>0.9</v>
      </c>
      <c r="O112">
        <v>6.2</v>
      </c>
      <c r="P112">
        <v>2.86</v>
      </c>
      <c r="Q112">
        <v>94.78</v>
      </c>
      <c r="R112">
        <v>112.52</v>
      </c>
      <c r="S112">
        <v>18000</v>
      </c>
      <c r="T112">
        <v>1638000</v>
      </c>
    </row>
    <row r="113" spans="1:20" x14ac:dyDescent="0.25">
      <c r="A113" t="s">
        <v>78</v>
      </c>
      <c r="B113" t="s">
        <v>79</v>
      </c>
      <c r="C113" t="s">
        <v>80</v>
      </c>
      <c r="D113" t="s">
        <v>93</v>
      </c>
      <c r="E113" t="s">
        <v>24</v>
      </c>
      <c r="F113" t="s">
        <v>25</v>
      </c>
      <c r="G113" t="s">
        <v>94</v>
      </c>
      <c r="H113">
        <v>87</v>
      </c>
      <c r="I113">
        <v>968.63</v>
      </c>
      <c r="J113">
        <v>166.32</v>
      </c>
      <c r="K113">
        <v>17.170000000000002</v>
      </c>
      <c r="L113">
        <v>101.73</v>
      </c>
      <c r="M113">
        <v>10.5</v>
      </c>
      <c r="N113">
        <v>0.78</v>
      </c>
      <c r="O113">
        <v>36.1</v>
      </c>
      <c r="P113">
        <v>7.7</v>
      </c>
      <c r="Q113">
        <v>85.13</v>
      </c>
      <c r="R113">
        <v>101.54</v>
      </c>
      <c r="S113">
        <v>18000</v>
      </c>
      <c r="T113">
        <v>1638000</v>
      </c>
    </row>
    <row r="114" spans="1:20" x14ac:dyDescent="0.25">
      <c r="A114" t="s">
        <v>81</v>
      </c>
      <c r="B114" t="s">
        <v>82</v>
      </c>
      <c r="C114" t="s">
        <v>80</v>
      </c>
      <c r="D114" t="s">
        <v>93</v>
      </c>
      <c r="E114" t="s">
        <v>24</v>
      </c>
      <c r="F114" t="s">
        <v>25</v>
      </c>
      <c r="G114" t="s">
        <v>94</v>
      </c>
      <c r="H114">
        <v>87</v>
      </c>
      <c r="I114">
        <v>1020.05</v>
      </c>
      <c r="J114">
        <v>197.26</v>
      </c>
      <c r="K114">
        <v>19.34</v>
      </c>
      <c r="L114">
        <v>103.28</v>
      </c>
      <c r="M114">
        <v>10.119999999999999</v>
      </c>
      <c r="N114">
        <v>0.84</v>
      </c>
      <c r="O114">
        <v>37.6</v>
      </c>
      <c r="P114">
        <v>25.08</v>
      </c>
      <c r="Q114">
        <v>101.77</v>
      </c>
      <c r="R114">
        <v>120.43</v>
      </c>
      <c r="S114">
        <v>18000</v>
      </c>
      <c r="T114">
        <v>1638000</v>
      </c>
    </row>
    <row r="115" spans="1:20" x14ac:dyDescent="0.25">
      <c r="A115" t="s">
        <v>83</v>
      </c>
      <c r="B115" t="s">
        <v>84</v>
      </c>
      <c r="C115" t="s">
        <v>80</v>
      </c>
      <c r="D115" t="s">
        <v>93</v>
      </c>
      <c r="E115" t="s">
        <v>24</v>
      </c>
      <c r="F115" t="s">
        <v>25</v>
      </c>
      <c r="G115" t="s">
        <v>94</v>
      </c>
      <c r="H115">
        <v>87</v>
      </c>
      <c r="I115">
        <v>1001.92</v>
      </c>
      <c r="J115">
        <v>183.82</v>
      </c>
      <c r="K115">
        <v>18.350000000000001</v>
      </c>
      <c r="L115">
        <v>42.94</v>
      </c>
      <c r="M115">
        <v>4.29</v>
      </c>
      <c r="N115">
        <v>0.9</v>
      </c>
      <c r="O115">
        <v>9</v>
      </c>
      <c r="P115">
        <v>4.08</v>
      </c>
      <c r="Q115">
        <v>93.24</v>
      </c>
      <c r="R115">
        <v>112.22</v>
      </c>
      <c r="S115">
        <v>18000</v>
      </c>
      <c r="T115">
        <v>1638000</v>
      </c>
    </row>
    <row r="116" spans="1:20" x14ac:dyDescent="0.25">
      <c r="A116" t="s">
        <v>85</v>
      </c>
      <c r="B116" t="s">
        <v>86</v>
      </c>
      <c r="C116" t="s">
        <v>80</v>
      </c>
      <c r="D116" t="s">
        <v>93</v>
      </c>
      <c r="E116" t="s">
        <v>24</v>
      </c>
      <c r="F116" t="s">
        <v>25</v>
      </c>
      <c r="G116" t="s">
        <v>94</v>
      </c>
      <c r="H116">
        <v>87</v>
      </c>
      <c r="I116">
        <v>919.92</v>
      </c>
      <c r="J116">
        <v>182.92</v>
      </c>
      <c r="K116">
        <v>19.88</v>
      </c>
      <c r="L116">
        <v>54.51</v>
      </c>
      <c r="M116">
        <v>5.93</v>
      </c>
      <c r="N116">
        <v>0.8</v>
      </c>
      <c r="O116">
        <v>35.700000000000003</v>
      </c>
      <c r="P116">
        <v>15.72</v>
      </c>
      <c r="Q116">
        <v>99.34</v>
      </c>
      <c r="R116">
        <v>111.67</v>
      </c>
      <c r="S116">
        <v>18000</v>
      </c>
      <c r="T116">
        <v>1638000</v>
      </c>
    </row>
    <row r="117" spans="1:20" x14ac:dyDescent="0.25">
      <c r="A117" t="s">
        <v>87</v>
      </c>
      <c r="B117" t="s">
        <v>88</v>
      </c>
      <c r="C117" t="s">
        <v>89</v>
      </c>
      <c r="D117" t="s">
        <v>93</v>
      </c>
      <c r="E117" t="s">
        <v>24</v>
      </c>
      <c r="F117" t="s">
        <v>25</v>
      </c>
      <c r="G117" t="s">
        <v>94</v>
      </c>
      <c r="H117">
        <v>87</v>
      </c>
      <c r="I117">
        <v>482.38</v>
      </c>
      <c r="J117">
        <v>240.46</v>
      </c>
      <c r="K117">
        <v>49.85</v>
      </c>
      <c r="L117">
        <v>-54.1</v>
      </c>
      <c r="M117">
        <v>-11.22</v>
      </c>
      <c r="N117">
        <v>0.47</v>
      </c>
      <c r="O117">
        <v>27.4</v>
      </c>
      <c r="P117">
        <v>41.58</v>
      </c>
      <c r="Q117">
        <v>130.88</v>
      </c>
      <c r="R117">
        <v>146.80000000000001</v>
      </c>
      <c r="S117">
        <v>18000</v>
      </c>
      <c r="T117">
        <v>1638000</v>
      </c>
    </row>
    <row r="118" spans="1:20" x14ac:dyDescent="0.25">
      <c r="A118" t="s">
        <v>20</v>
      </c>
      <c r="B118" t="s">
        <v>21</v>
      </c>
      <c r="C118" t="s">
        <v>22</v>
      </c>
      <c r="D118" t="s">
        <v>95</v>
      </c>
      <c r="E118" t="s">
        <v>24</v>
      </c>
      <c r="F118" t="s">
        <v>25</v>
      </c>
      <c r="G118" t="s">
        <v>94</v>
      </c>
      <c r="H118">
        <v>65</v>
      </c>
      <c r="I118">
        <v>422.41</v>
      </c>
      <c r="J118">
        <v>81.44</v>
      </c>
      <c r="K118">
        <v>19.28</v>
      </c>
      <c r="L118">
        <v>54.99</v>
      </c>
      <c r="M118">
        <v>13.02</v>
      </c>
      <c r="N118">
        <v>0.69</v>
      </c>
      <c r="O118">
        <v>28.1</v>
      </c>
      <c r="P118">
        <v>0</v>
      </c>
      <c r="Q118">
        <v>63</v>
      </c>
      <c r="R118">
        <v>74.58</v>
      </c>
      <c r="S118">
        <v>12000</v>
      </c>
      <c r="T118">
        <v>1092000</v>
      </c>
    </row>
    <row r="119" spans="1:20" x14ac:dyDescent="0.25">
      <c r="A119" t="s">
        <v>27</v>
      </c>
      <c r="B119" t="s">
        <v>28</v>
      </c>
      <c r="C119" t="s">
        <v>22</v>
      </c>
      <c r="D119" t="s">
        <v>95</v>
      </c>
      <c r="E119" t="s">
        <v>24</v>
      </c>
      <c r="F119" t="s">
        <v>25</v>
      </c>
      <c r="G119" t="s">
        <v>94</v>
      </c>
      <c r="H119">
        <v>65</v>
      </c>
      <c r="I119">
        <v>380.93</v>
      </c>
      <c r="J119">
        <v>80.09</v>
      </c>
      <c r="K119">
        <v>21.02</v>
      </c>
      <c r="L119">
        <v>35</v>
      </c>
      <c r="M119">
        <v>9.19</v>
      </c>
      <c r="N119">
        <v>0.6</v>
      </c>
      <c r="O119">
        <v>23.3</v>
      </c>
      <c r="P119">
        <v>0</v>
      </c>
      <c r="Q119">
        <v>64.790000000000006</v>
      </c>
      <c r="R119">
        <v>73.34</v>
      </c>
      <c r="S119">
        <v>12000</v>
      </c>
      <c r="T119">
        <v>1092000</v>
      </c>
    </row>
    <row r="120" spans="1:20" x14ac:dyDescent="0.25">
      <c r="A120" t="s">
        <v>29</v>
      </c>
      <c r="B120" t="s">
        <v>30</v>
      </c>
      <c r="C120" t="s">
        <v>22</v>
      </c>
      <c r="D120" t="s">
        <v>95</v>
      </c>
      <c r="E120" t="s">
        <v>24</v>
      </c>
      <c r="F120" t="s">
        <v>25</v>
      </c>
      <c r="G120" t="s">
        <v>94</v>
      </c>
      <c r="H120">
        <v>65</v>
      </c>
      <c r="I120">
        <v>402.49</v>
      </c>
      <c r="J120">
        <v>77.650000000000006</v>
      </c>
      <c r="K120">
        <v>19.29</v>
      </c>
      <c r="L120">
        <v>52.59</v>
      </c>
      <c r="M120">
        <v>13.07</v>
      </c>
      <c r="N120">
        <v>0.68</v>
      </c>
      <c r="O120">
        <v>9.4</v>
      </c>
      <c r="P120">
        <v>0</v>
      </c>
      <c r="Q120">
        <v>60.46</v>
      </c>
      <c r="R120">
        <v>71.11</v>
      </c>
      <c r="S120">
        <v>12000</v>
      </c>
      <c r="T120">
        <v>1092000</v>
      </c>
    </row>
    <row r="121" spans="1:20" x14ac:dyDescent="0.25">
      <c r="A121" t="s">
        <v>31</v>
      </c>
      <c r="B121" t="s">
        <v>32</v>
      </c>
      <c r="C121" t="s">
        <v>22</v>
      </c>
      <c r="D121" t="s">
        <v>95</v>
      </c>
      <c r="E121" t="s">
        <v>24</v>
      </c>
      <c r="F121" t="s">
        <v>25</v>
      </c>
      <c r="G121" t="s">
        <v>94</v>
      </c>
      <c r="H121">
        <v>65</v>
      </c>
      <c r="I121">
        <v>407.71</v>
      </c>
      <c r="J121">
        <v>84.05</v>
      </c>
      <c r="K121">
        <v>20.62</v>
      </c>
      <c r="L121">
        <v>55.43</v>
      </c>
      <c r="M121">
        <v>13.6</v>
      </c>
      <c r="N121">
        <v>0.66</v>
      </c>
      <c r="O121">
        <v>33.1</v>
      </c>
      <c r="P121">
        <v>0</v>
      </c>
      <c r="Q121">
        <v>65.66</v>
      </c>
      <c r="R121">
        <v>76.97</v>
      </c>
      <c r="S121">
        <v>12000</v>
      </c>
      <c r="T121">
        <v>1092000</v>
      </c>
    </row>
    <row r="122" spans="1:20" x14ac:dyDescent="0.25">
      <c r="A122" t="s">
        <v>33</v>
      </c>
      <c r="B122" t="s">
        <v>34</v>
      </c>
      <c r="C122" t="s">
        <v>22</v>
      </c>
      <c r="D122" t="s">
        <v>95</v>
      </c>
      <c r="E122" t="s">
        <v>24</v>
      </c>
      <c r="F122" t="s">
        <v>25</v>
      </c>
      <c r="G122" t="s">
        <v>94</v>
      </c>
      <c r="H122">
        <v>65</v>
      </c>
      <c r="I122">
        <v>399.41</v>
      </c>
      <c r="J122">
        <v>82.31</v>
      </c>
      <c r="K122">
        <v>20.61</v>
      </c>
      <c r="L122">
        <v>31.04</v>
      </c>
      <c r="M122">
        <v>7.77</v>
      </c>
      <c r="N122">
        <v>0.61</v>
      </c>
      <c r="O122">
        <v>5.8</v>
      </c>
      <c r="P122">
        <v>0</v>
      </c>
      <c r="Q122">
        <v>66.66</v>
      </c>
      <c r="R122">
        <v>75.38</v>
      </c>
      <c r="S122">
        <v>12000</v>
      </c>
      <c r="T122">
        <v>1092000</v>
      </c>
    </row>
    <row r="123" spans="1:20" x14ac:dyDescent="0.25">
      <c r="A123" t="s">
        <v>35</v>
      </c>
      <c r="B123" t="s">
        <v>36</v>
      </c>
      <c r="C123" t="s">
        <v>37</v>
      </c>
      <c r="D123" t="s">
        <v>95</v>
      </c>
      <c r="E123" t="s">
        <v>24</v>
      </c>
      <c r="F123" t="s">
        <v>25</v>
      </c>
      <c r="G123" t="s">
        <v>94</v>
      </c>
      <c r="H123">
        <v>65</v>
      </c>
      <c r="I123">
        <v>133.99</v>
      </c>
      <c r="J123">
        <v>25.87</v>
      </c>
      <c r="K123">
        <v>19.309999999999999</v>
      </c>
      <c r="L123">
        <v>-48.58</v>
      </c>
      <c r="M123">
        <v>-36.26</v>
      </c>
      <c r="N123">
        <v>0.21</v>
      </c>
      <c r="O123">
        <v>31.6</v>
      </c>
      <c r="P123">
        <v>0</v>
      </c>
      <c r="Q123">
        <v>20.57</v>
      </c>
      <c r="R123">
        <v>23.69</v>
      </c>
      <c r="S123">
        <v>12000</v>
      </c>
      <c r="T123">
        <v>1092000</v>
      </c>
    </row>
    <row r="124" spans="1:20" x14ac:dyDescent="0.25">
      <c r="A124" t="s">
        <v>38</v>
      </c>
      <c r="B124" t="s">
        <v>39</v>
      </c>
      <c r="C124" t="s">
        <v>37</v>
      </c>
      <c r="D124" t="s">
        <v>95</v>
      </c>
      <c r="E124" t="s">
        <v>24</v>
      </c>
      <c r="F124" t="s">
        <v>25</v>
      </c>
      <c r="G124" t="s">
        <v>94</v>
      </c>
      <c r="H124">
        <v>65</v>
      </c>
      <c r="I124">
        <v>102.15</v>
      </c>
      <c r="J124">
        <v>55.07</v>
      </c>
      <c r="K124">
        <v>53.91</v>
      </c>
      <c r="L124">
        <v>-36.72</v>
      </c>
      <c r="M124">
        <v>-35.950000000000003</v>
      </c>
      <c r="N124">
        <v>0.17</v>
      </c>
      <c r="O124">
        <v>33.9</v>
      </c>
      <c r="P124">
        <v>0</v>
      </c>
      <c r="Q124">
        <v>44.05</v>
      </c>
      <c r="R124">
        <v>50.43</v>
      </c>
      <c r="S124">
        <v>12000</v>
      </c>
      <c r="T124">
        <v>1092000</v>
      </c>
    </row>
    <row r="125" spans="1:20" x14ac:dyDescent="0.25">
      <c r="A125" t="s">
        <v>40</v>
      </c>
      <c r="B125" t="s">
        <v>41</v>
      </c>
      <c r="C125" t="s">
        <v>37</v>
      </c>
      <c r="D125" t="s">
        <v>95</v>
      </c>
      <c r="E125" t="s">
        <v>24</v>
      </c>
      <c r="F125" t="s">
        <v>25</v>
      </c>
      <c r="G125" t="s">
        <v>94</v>
      </c>
      <c r="H125">
        <v>65</v>
      </c>
      <c r="I125">
        <v>138.13999999999999</v>
      </c>
      <c r="J125">
        <v>49.86</v>
      </c>
      <c r="K125">
        <v>36.090000000000003</v>
      </c>
      <c r="L125">
        <v>-40.03</v>
      </c>
      <c r="M125">
        <v>-28.97</v>
      </c>
      <c r="N125">
        <v>0.23</v>
      </c>
      <c r="O125">
        <v>16.399999999999999</v>
      </c>
      <c r="P125">
        <v>0</v>
      </c>
      <c r="Q125">
        <v>39.950000000000003</v>
      </c>
      <c r="R125">
        <v>45.66</v>
      </c>
      <c r="S125">
        <v>12000</v>
      </c>
      <c r="T125">
        <v>1092000</v>
      </c>
    </row>
    <row r="126" spans="1:20" x14ac:dyDescent="0.25">
      <c r="A126" t="s">
        <v>42</v>
      </c>
      <c r="B126" t="s">
        <v>43</v>
      </c>
      <c r="C126" t="s">
        <v>37</v>
      </c>
      <c r="D126" t="s">
        <v>95</v>
      </c>
      <c r="E126" t="s">
        <v>24</v>
      </c>
      <c r="F126" t="s">
        <v>25</v>
      </c>
      <c r="G126" t="s">
        <v>94</v>
      </c>
      <c r="H126">
        <v>65</v>
      </c>
      <c r="I126">
        <v>67.97</v>
      </c>
      <c r="J126">
        <v>93.66</v>
      </c>
      <c r="K126">
        <v>137.80000000000001</v>
      </c>
      <c r="L126">
        <v>-28.79</v>
      </c>
      <c r="M126">
        <v>-42.35</v>
      </c>
      <c r="N126">
        <v>0.11</v>
      </c>
      <c r="O126">
        <v>9</v>
      </c>
      <c r="P126">
        <v>0</v>
      </c>
      <c r="Q126">
        <v>75.489999999999995</v>
      </c>
      <c r="R126">
        <v>85.77</v>
      </c>
      <c r="S126">
        <v>12000</v>
      </c>
      <c r="T126">
        <v>1092000</v>
      </c>
    </row>
    <row r="127" spans="1:20" x14ac:dyDescent="0.25">
      <c r="A127" t="s">
        <v>44</v>
      </c>
      <c r="B127" t="s">
        <v>45</v>
      </c>
      <c r="C127" t="s">
        <v>37</v>
      </c>
      <c r="D127" t="s">
        <v>95</v>
      </c>
      <c r="E127" t="s">
        <v>24</v>
      </c>
      <c r="F127" t="s">
        <v>25</v>
      </c>
      <c r="G127" t="s">
        <v>94</v>
      </c>
      <c r="H127">
        <v>65</v>
      </c>
      <c r="I127">
        <v>132.53</v>
      </c>
      <c r="J127">
        <v>99.28</v>
      </c>
      <c r="K127">
        <v>74.91</v>
      </c>
      <c r="L127">
        <v>-36.32</v>
      </c>
      <c r="M127">
        <v>-27.4</v>
      </c>
      <c r="N127">
        <v>0.2</v>
      </c>
      <c r="O127">
        <v>14.8</v>
      </c>
      <c r="P127">
        <v>0.15</v>
      </c>
      <c r="Q127">
        <v>76.83</v>
      </c>
      <c r="R127">
        <v>90.92</v>
      </c>
      <c r="S127">
        <v>12000</v>
      </c>
      <c r="T127">
        <v>1092000</v>
      </c>
    </row>
    <row r="128" spans="1:20" x14ac:dyDescent="0.25">
      <c r="A128" t="s">
        <v>46</v>
      </c>
      <c r="B128" t="s">
        <v>47</v>
      </c>
      <c r="C128" t="s">
        <v>48</v>
      </c>
      <c r="D128" t="s">
        <v>95</v>
      </c>
      <c r="E128" t="s">
        <v>24</v>
      </c>
      <c r="F128" t="s">
        <v>25</v>
      </c>
      <c r="G128" t="s">
        <v>94</v>
      </c>
      <c r="H128">
        <v>65</v>
      </c>
      <c r="I128">
        <v>316.8</v>
      </c>
      <c r="J128">
        <v>98.19</v>
      </c>
      <c r="K128">
        <v>31</v>
      </c>
      <c r="L128">
        <v>18.100000000000001</v>
      </c>
      <c r="M128">
        <v>5.71</v>
      </c>
      <c r="N128">
        <v>0.53</v>
      </c>
      <c r="O128">
        <v>26</v>
      </c>
      <c r="P128">
        <v>0</v>
      </c>
      <c r="Q128">
        <v>78.97</v>
      </c>
      <c r="R128">
        <v>89.92</v>
      </c>
      <c r="S128">
        <v>12000</v>
      </c>
      <c r="T128">
        <v>1092000</v>
      </c>
    </row>
    <row r="129" spans="1:20" x14ac:dyDescent="0.25">
      <c r="A129" t="s">
        <v>49</v>
      </c>
      <c r="B129" t="s">
        <v>50</v>
      </c>
      <c r="C129" t="s">
        <v>48</v>
      </c>
      <c r="D129" t="s">
        <v>95</v>
      </c>
      <c r="E129" t="s">
        <v>24</v>
      </c>
      <c r="F129" t="s">
        <v>25</v>
      </c>
      <c r="G129" t="s">
        <v>94</v>
      </c>
      <c r="H129">
        <v>65</v>
      </c>
      <c r="I129">
        <v>272.42</v>
      </c>
      <c r="J129">
        <v>113.84</v>
      </c>
      <c r="K129">
        <v>41.79</v>
      </c>
      <c r="L129">
        <v>15.36</v>
      </c>
      <c r="M129">
        <v>5.64</v>
      </c>
      <c r="N129">
        <v>0.45</v>
      </c>
      <c r="O129">
        <v>34.200000000000003</v>
      </c>
      <c r="P129">
        <v>6.16</v>
      </c>
      <c r="Q129">
        <v>86.82</v>
      </c>
      <c r="R129">
        <v>104.25</v>
      </c>
      <c r="S129">
        <v>12000</v>
      </c>
      <c r="T129">
        <v>1092000</v>
      </c>
    </row>
    <row r="130" spans="1:20" x14ac:dyDescent="0.25">
      <c r="A130" t="s">
        <v>51</v>
      </c>
      <c r="B130" t="s">
        <v>52</v>
      </c>
      <c r="C130" t="s">
        <v>48</v>
      </c>
      <c r="D130" t="s">
        <v>95</v>
      </c>
      <c r="E130" t="s">
        <v>24</v>
      </c>
      <c r="F130" t="s">
        <v>25</v>
      </c>
      <c r="G130" t="s">
        <v>94</v>
      </c>
      <c r="H130">
        <v>65</v>
      </c>
      <c r="I130">
        <v>272.61</v>
      </c>
      <c r="J130">
        <v>88.93</v>
      </c>
      <c r="K130">
        <v>32.619999999999997</v>
      </c>
      <c r="L130">
        <v>10.62</v>
      </c>
      <c r="M130">
        <v>3.9</v>
      </c>
      <c r="N130">
        <v>0.47</v>
      </c>
      <c r="O130">
        <v>14</v>
      </c>
      <c r="P130">
        <v>0</v>
      </c>
      <c r="Q130">
        <v>72.010000000000005</v>
      </c>
      <c r="R130">
        <v>81.44</v>
      </c>
      <c r="S130">
        <v>12000</v>
      </c>
      <c r="T130">
        <v>1092000</v>
      </c>
    </row>
    <row r="131" spans="1:20" x14ac:dyDescent="0.25">
      <c r="A131" t="s">
        <v>53</v>
      </c>
      <c r="B131" t="s">
        <v>54</v>
      </c>
      <c r="C131" t="s">
        <v>55</v>
      </c>
      <c r="D131" t="s">
        <v>95</v>
      </c>
      <c r="E131" t="s">
        <v>24</v>
      </c>
      <c r="F131" t="s">
        <v>25</v>
      </c>
      <c r="G131" t="s">
        <v>94</v>
      </c>
      <c r="H131">
        <v>65</v>
      </c>
      <c r="I131">
        <v>417.34</v>
      </c>
      <c r="J131">
        <v>143.74</v>
      </c>
      <c r="K131">
        <v>34.44</v>
      </c>
      <c r="L131">
        <v>16.989999999999998</v>
      </c>
      <c r="M131">
        <v>4.07</v>
      </c>
      <c r="N131">
        <v>0.63</v>
      </c>
      <c r="O131">
        <v>22</v>
      </c>
      <c r="P131">
        <v>14.63</v>
      </c>
      <c r="Q131">
        <v>109.53</v>
      </c>
      <c r="R131">
        <v>131.63</v>
      </c>
      <c r="S131">
        <v>12000</v>
      </c>
      <c r="T131">
        <v>1092000</v>
      </c>
    </row>
    <row r="132" spans="1:20" x14ac:dyDescent="0.25">
      <c r="A132" t="s">
        <v>56</v>
      </c>
      <c r="B132" t="s">
        <v>57</v>
      </c>
      <c r="C132" t="s">
        <v>55</v>
      </c>
      <c r="D132" t="s">
        <v>95</v>
      </c>
      <c r="E132" t="s">
        <v>24</v>
      </c>
      <c r="F132" t="s">
        <v>25</v>
      </c>
      <c r="G132" t="s">
        <v>94</v>
      </c>
      <c r="H132">
        <v>65</v>
      </c>
      <c r="I132">
        <v>431.6</v>
      </c>
      <c r="J132">
        <v>103.18</v>
      </c>
      <c r="K132">
        <v>23.91</v>
      </c>
      <c r="L132">
        <v>9.9700000000000006</v>
      </c>
      <c r="M132">
        <v>2.31</v>
      </c>
      <c r="N132">
        <v>0.75</v>
      </c>
      <c r="O132">
        <v>32</v>
      </c>
      <c r="P132">
        <v>1.65</v>
      </c>
      <c r="Q132">
        <v>80.69</v>
      </c>
      <c r="R132">
        <v>94.49</v>
      </c>
      <c r="S132">
        <v>12000</v>
      </c>
      <c r="T132">
        <v>1092000</v>
      </c>
    </row>
    <row r="133" spans="1:20" x14ac:dyDescent="0.25">
      <c r="A133" t="s">
        <v>58</v>
      </c>
      <c r="B133" t="s">
        <v>59</v>
      </c>
      <c r="C133" t="s">
        <v>55</v>
      </c>
      <c r="D133" t="s">
        <v>95</v>
      </c>
      <c r="E133" t="s">
        <v>24</v>
      </c>
      <c r="F133" t="s">
        <v>25</v>
      </c>
      <c r="G133" t="s">
        <v>94</v>
      </c>
      <c r="H133">
        <v>65</v>
      </c>
      <c r="I133">
        <v>388.78</v>
      </c>
      <c r="J133">
        <v>115.27</v>
      </c>
      <c r="K133">
        <v>29.65</v>
      </c>
      <c r="L133">
        <v>18.79</v>
      </c>
      <c r="M133">
        <v>4.83</v>
      </c>
      <c r="N133">
        <v>0.61</v>
      </c>
      <c r="O133">
        <v>35.6</v>
      </c>
      <c r="P133">
        <v>7.09</v>
      </c>
      <c r="Q133">
        <v>93.25</v>
      </c>
      <c r="R133">
        <v>105.56</v>
      </c>
      <c r="S133">
        <v>12000</v>
      </c>
      <c r="T133">
        <v>1092000</v>
      </c>
    </row>
    <row r="134" spans="1:20" x14ac:dyDescent="0.25">
      <c r="A134" t="s">
        <v>60</v>
      </c>
      <c r="B134" t="s">
        <v>61</v>
      </c>
      <c r="C134" t="s">
        <v>62</v>
      </c>
      <c r="D134" t="s">
        <v>95</v>
      </c>
      <c r="E134" t="s">
        <v>24</v>
      </c>
      <c r="F134" t="s">
        <v>25</v>
      </c>
      <c r="G134" t="s">
        <v>94</v>
      </c>
      <c r="H134">
        <v>65</v>
      </c>
      <c r="I134">
        <v>380.93</v>
      </c>
      <c r="J134">
        <v>106.07</v>
      </c>
      <c r="K134">
        <v>27.84</v>
      </c>
      <c r="L134">
        <v>36.119999999999997</v>
      </c>
      <c r="M134">
        <v>9.48</v>
      </c>
      <c r="N134">
        <v>0.55000000000000004</v>
      </c>
      <c r="O134">
        <v>9</v>
      </c>
      <c r="P134">
        <v>0.76</v>
      </c>
      <c r="Q134">
        <v>84.29</v>
      </c>
      <c r="R134">
        <v>97.13</v>
      </c>
      <c r="S134">
        <v>12000</v>
      </c>
      <c r="T134">
        <v>1092000</v>
      </c>
    </row>
    <row r="135" spans="1:20" x14ac:dyDescent="0.25">
      <c r="A135" t="s">
        <v>63</v>
      </c>
      <c r="B135" t="s">
        <v>64</v>
      </c>
      <c r="C135" t="s">
        <v>62</v>
      </c>
      <c r="D135" t="s">
        <v>95</v>
      </c>
      <c r="E135" t="s">
        <v>24</v>
      </c>
      <c r="F135" t="s">
        <v>25</v>
      </c>
      <c r="G135" t="s">
        <v>94</v>
      </c>
      <c r="H135">
        <v>65</v>
      </c>
      <c r="I135">
        <v>415.91</v>
      </c>
      <c r="J135">
        <v>111.35</v>
      </c>
      <c r="K135">
        <v>26.77</v>
      </c>
      <c r="L135">
        <v>26.38</v>
      </c>
      <c r="M135">
        <v>6.34</v>
      </c>
      <c r="N135">
        <v>0.6</v>
      </c>
      <c r="O135">
        <v>10.7</v>
      </c>
      <c r="P135">
        <v>1.58</v>
      </c>
      <c r="Q135">
        <v>88.18</v>
      </c>
      <c r="R135">
        <v>101.97</v>
      </c>
      <c r="S135">
        <v>12000</v>
      </c>
      <c r="T135">
        <v>1092000</v>
      </c>
    </row>
    <row r="136" spans="1:20" x14ac:dyDescent="0.25">
      <c r="A136" t="s">
        <v>65</v>
      </c>
      <c r="B136" t="s">
        <v>66</v>
      </c>
      <c r="C136" t="s">
        <v>62</v>
      </c>
      <c r="D136" t="s">
        <v>95</v>
      </c>
      <c r="E136" t="s">
        <v>24</v>
      </c>
      <c r="F136" t="s">
        <v>25</v>
      </c>
      <c r="G136" t="s">
        <v>94</v>
      </c>
      <c r="H136">
        <v>65</v>
      </c>
      <c r="I136">
        <v>390.85</v>
      </c>
      <c r="J136">
        <v>106.49</v>
      </c>
      <c r="K136">
        <v>27.25</v>
      </c>
      <c r="L136">
        <v>45.72</v>
      </c>
      <c r="M136">
        <v>11.7</v>
      </c>
      <c r="N136">
        <v>0.63</v>
      </c>
      <c r="O136">
        <v>30.7</v>
      </c>
      <c r="P136">
        <v>2.73</v>
      </c>
      <c r="Q136">
        <v>85.16</v>
      </c>
      <c r="R136">
        <v>97.52</v>
      </c>
      <c r="S136">
        <v>12000</v>
      </c>
      <c r="T136">
        <v>1092000</v>
      </c>
    </row>
    <row r="137" spans="1:20" x14ac:dyDescent="0.25">
      <c r="A137" t="s">
        <v>67</v>
      </c>
      <c r="B137" t="s">
        <v>68</v>
      </c>
      <c r="C137" t="s">
        <v>69</v>
      </c>
      <c r="D137" t="s">
        <v>95</v>
      </c>
      <c r="E137" t="s">
        <v>24</v>
      </c>
      <c r="F137" t="s">
        <v>25</v>
      </c>
      <c r="G137" t="s">
        <v>94</v>
      </c>
      <c r="H137">
        <v>65</v>
      </c>
      <c r="I137">
        <v>399.23</v>
      </c>
      <c r="J137">
        <v>98.24</v>
      </c>
      <c r="K137">
        <v>24.61</v>
      </c>
      <c r="L137">
        <v>20.49</v>
      </c>
      <c r="M137">
        <v>5.13</v>
      </c>
      <c r="N137">
        <v>0.67</v>
      </c>
      <c r="O137">
        <v>9.9</v>
      </c>
      <c r="P137">
        <v>0</v>
      </c>
      <c r="Q137">
        <v>78.33</v>
      </c>
      <c r="R137">
        <v>89.96</v>
      </c>
      <c r="S137">
        <v>12000</v>
      </c>
      <c r="T137">
        <v>1092000</v>
      </c>
    </row>
    <row r="138" spans="1:20" x14ac:dyDescent="0.25">
      <c r="A138" t="s">
        <v>70</v>
      </c>
      <c r="B138" t="s">
        <v>71</v>
      </c>
      <c r="C138" t="s">
        <v>69</v>
      </c>
      <c r="D138" t="s">
        <v>95</v>
      </c>
      <c r="E138" t="s">
        <v>24</v>
      </c>
      <c r="F138" t="s">
        <v>25</v>
      </c>
      <c r="G138" t="s">
        <v>94</v>
      </c>
      <c r="H138">
        <v>65</v>
      </c>
      <c r="I138">
        <v>399.9</v>
      </c>
      <c r="J138">
        <v>108.13</v>
      </c>
      <c r="K138">
        <v>27.04</v>
      </c>
      <c r="L138">
        <v>26.48</v>
      </c>
      <c r="M138">
        <v>6.62</v>
      </c>
      <c r="N138">
        <v>0.6</v>
      </c>
      <c r="O138">
        <v>26.1</v>
      </c>
      <c r="P138">
        <v>2.83</v>
      </c>
      <c r="Q138">
        <v>84.61</v>
      </c>
      <c r="R138">
        <v>99.02</v>
      </c>
      <c r="S138">
        <v>12000</v>
      </c>
      <c r="T138">
        <v>1092000</v>
      </c>
    </row>
    <row r="139" spans="1:20" x14ac:dyDescent="0.25">
      <c r="A139" t="s">
        <v>72</v>
      </c>
      <c r="B139" t="s">
        <v>73</v>
      </c>
      <c r="C139" t="s">
        <v>69</v>
      </c>
      <c r="D139" t="s">
        <v>95</v>
      </c>
      <c r="E139" t="s">
        <v>24</v>
      </c>
      <c r="F139" t="s">
        <v>25</v>
      </c>
      <c r="G139" t="s">
        <v>94</v>
      </c>
      <c r="H139">
        <v>65</v>
      </c>
      <c r="I139">
        <v>388.55</v>
      </c>
      <c r="J139">
        <v>111.14</v>
      </c>
      <c r="K139">
        <v>28.61</v>
      </c>
      <c r="L139">
        <v>32.869999999999997</v>
      </c>
      <c r="M139">
        <v>8.4600000000000009</v>
      </c>
      <c r="N139">
        <v>0.63</v>
      </c>
      <c r="O139">
        <v>35.4</v>
      </c>
      <c r="P139">
        <v>5.15</v>
      </c>
      <c r="Q139">
        <v>84.06</v>
      </c>
      <c r="R139">
        <v>101.78</v>
      </c>
      <c r="S139">
        <v>12000</v>
      </c>
      <c r="T139">
        <v>1092000</v>
      </c>
    </row>
    <row r="140" spans="1:20" x14ac:dyDescent="0.25">
      <c r="A140" t="s">
        <v>74</v>
      </c>
      <c r="B140" t="s">
        <v>75</v>
      </c>
      <c r="C140" t="s">
        <v>69</v>
      </c>
      <c r="D140" t="s">
        <v>95</v>
      </c>
      <c r="E140" t="s">
        <v>24</v>
      </c>
      <c r="F140" t="s">
        <v>25</v>
      </c>
      <c r="G140" t="s">
        <v>94</v>
      </c>
      <c r="H140">
        <v>65</v>
      </c>
      <c r="I140">
        <v>399.3</v>
      </c>
      <c r="J140">
        <v>102.63</v>
      </c>
      <c r="K140">
        <v>25.7</v>
      </c>
      <c r="L140">
        <v>28.7</v>
      </c>
      <c r="M140">
        <v>7.19</v>
      </c>
      <c r="N140">
        <v>0.61</v>
      </c>
      <c r="O140">
        <v>22.5</v>
      </c>
      <c r="P140">
        <v>1.02</v>
      </c>
      <c r="Q140">
        <v>80.400000000000006</v>
      </c>
      <c r="R140">
        <v>93.98</v>
      </c>
      <c r="S140">
        <v>12000</v>
      </c>
      <c r="T140">
        <v>1092000</v>
      </c>
    </row>
    <row r="141" spans="1:20" x14ac:dyDescent="0.25">
      <c r="A141" t="s">
        <v>76</v>
      </c>
      <c r="B141" t="s">
        <v>77</v>
      </c>
      <c r="C141" t="s">
        <v>69</v>
      </c>
      <c r="D141" t="s">
        <v>95</v>
      </c>
      <c r="E141" t="s">
        <v>24</v>
      </c>
      <c r="F141" t="s">
        <v>25</v>
      </c>
      <c r="G141" t="s">
        <v>94</v>
      </c>
      <c r="H141">
        <v>65</v>
      </c>
      <c r="I141">
        <v>396.28</v>
      </c>
      <c r="J141">
        <v>122.87</v>
      </c>
      <c r="K141">
        <v>31.01</v>
      </c>
      <c r="L141">
        <v>25.78</v>
      </c>
      <c r="M141">
        <v>6.5</v>
      </c>
      <c r="N141">
        <v>0.61</v>
      </c>
      <c r="O141">
        <v>32.200000000000003</v>
      </c>
      <c r="P141">
        <v>9.9</v>
      </c>
      <c r="Q141">
        <v>94.78</v>
      </c>
      <c r="R141">
        <v>112.52</v>
      </c>
      <c r="S141">
        <v>12000</v>
      </c>
      <c r="T141">
        <v>1092000</v>
      </c>
    </row>
    <row r="142" spans="1:20" x14ac:dyDescent="0.25">
      <c r="A142" t="s">
        <v>78</v>
      </c>
      <c r="B142" t="s">
        <v>79</v>
      </c>
      <c r="C142" t="s">
        <v>80</v>
      </c>
      <c r="D142" t="s">
        <v>95</v>
      </c>
      <c r="E142" t="s">
        <v>24</v>
      </c>
      <c r="F142" t="s">
        <v>25</v>
      </c>
      <c r="G142" t="s">
        <v>94</v>
      </c>
      <c r="H142">
        <v>65</v>
      </c>
      <c r="I142">
        <v>393.15</v>
      </c>
      <c r="J142">
        <v>110.88</v>
      </c>
      <c r="K142">
        <v>28.2</v>
      </c>
      <c r="L142">
        <v>48.93</v>
      </c>
      <c r="M142">
        <v>12.45</v>
      </c>
      <c r="N142">
        <v>0.59</v>
      </c>
      <c r="O142">
        <v>26.1</v>
      </c>
      <c r="P142">
        <v>3.71</v>
      </c>
      <c r="Q142">
        <v>85.13</v>
      </c>
      <c r="R142">
        <v>101.54</v>
      </c>
      <c r="S142">
        <v>12000</v>
      </c>
      <c r="T142">
        <v>1092000</v>
      </c>
    </row>
    <row r="143" spans="1:20" x14ac:dyDescent="0.25">
      <c r="A143" t="s">
        <v>81</v>
      </c>
      <c r="B143" t="s">
        <v>82</v>
      </c>
      <c r="C143" t="s">
        <v>80</v>
      </c>
      <c r="D143" t="s">
        <v>95</v>
      </c>
      <c r="E143" t="s">
        <v>24</v>
      </c>
      <c r="F143" t="s">
        <v>25</v>
      </c>
      <c r="G143" t="s">
        <v>94</v>
      </c>
      <c r="H143">
        <v>65</v>
      </c>
      <c r="I143">
        <v>430.49</v>
      </c>
      <c r="J143">
        <v>131.51</v>
      </c>
      <c r="K143">
        <v>30.55</v>
      </c>
      <c r="L143">
        <v>58.19</v>
      </c>
      <c r="M143">
        <v>13.52</v>
      </c>
      <c r="N143">
        <v>0.67</v>
      </c>
      <c r="O143">
        <v>7.4</v>
      </c>
      <c r="P143">
        <v>3.29</v>
      </c>
      <c r="Q143">
        <v>101.77</v>
      </c>
      <c r="R143">
        <v>120.43</v>
      </c>
      <c r="S143">
        <v>12000</v>
      </c>
      <c r="T143">
        <v>1092000</v>
      </c>
    </row>
    <row r="144" spans="1:20" x14ac:dyDescent="0.25">
      <c r="A144" t="s">
        <v>83</v>
      </c>
      <c r="B144" t="s">
        <v>84</v>
      </c>
      <c r="C144" t="s">
        <v>80</v>
      </c>
      <c r="D144" t="s">
        <v>95</v>
      </c>
      <c r="E144" t="s">
        <v>24</v>
      </c>
      <c r="F144" t="s">
        <v>25</v>
      </c>
      <c r="G144" t="s">
        <v>94</v>
      </c>
      <c r="H144">
        <v>65</v>
      </c>
      <c r="I144">
        <v>426.94</v>
      </c>
      <c r="J144">
        <v>122.54</v>
      </c>
      <c r="K144">
        <v>28.7</v>
      </c>
      <c r="L144">
        <v>22.5</v>
      </c>
      <c r="M144">
        <v>5.27</v>
      </c>
      <c r="N144">
        <v>0.73</v>
      </c>
      <c r="O144">
        <v>30.6</v>
      </c>
      <c r="P144">
        <v>9.26</v>
      </c>
      <c r="Q144">
        <v>93.24</v>
      </c>
      <c r="R144">
        <v>112.22</v>
      </c>
      <c r="S144">
        <v>12000</v>
      </c>
      <c r="T144">
        <v>1092000</v>
      </c>
    </row>
    <row r="145" spans="1:20" x14ac:dyDescent="0.25">
      <c r="A145" t="s">
        <v>85</v>
      </c>
      <c r="B145" t="s">
        <v>86</v>
      </c>
      <c r="C145" t="s">
        <v>80</v>
      </c>
      <c r="D145" t="s">
        <v>95</v>
      </c>
      <c r="E145" t="s">
        <v>24</v>
      </c>
      <c r="F145" t="s">
        <v>25</v>
      </c>
      <c r="G145" t="s">
        <v>94</v>
      </c>
      <c r="H145">
        <v>65</v>
      </c>
      <c r="I145">
        <v>428.58</v>
      </c>
      <c r="J145">
        <v>121.94</v>
      </c>
      <c r="K145">
        <v>28.45</v>
      </c>
      <c r="L145">
        <v>45.66</v>
      </c>
      <c r="M145">
        <v>10.65</v>
      </c>
      <c r="N145">
        <v>0.74</v>
      </c>
      <c r="O145">
        <v>21.3</v>
      </c>
      <c r="P145">
        <v>6.25</v>
      </c>
      <c r="Q145">
        <v>99.34</v>
      </c>
      <c r="R145">
        <v>111.67</v>
      </c>
      <c r="S145">
        <v>12000</v>
      </c>
      <c r="T145">
        <v>1092000</v>
      </c>
    </row>
    <row r="146" spans="1:20" x14ac:dyDescent="0.25">
      <c r="A146" t="s">
        <v>87</v>
      </c>
      <c r="B146" t="s">
        <v>88</v>
      </c>
      <c r="C146" t="s">
        <v>89</v>
      </c>
      <c r="D146" t="s">
        <v>95</v>
      </c>
      <c r="E146" t="s">
        <v>24</v>
      </c>
      <c r="F146" t="s">
        <v>25</v>
      </c>
      <c r="G146" t="s">
        <v>94</v>
      </c>
      <c r="H146">
        <v>65</v>
      </c>
      <c r="I146">
        <v>232.96</v>
      </c>
      <c r="J146">
        <v>160.31</v>
      </c>
      <c r="K146">
        <v>68.81</v>
      </c>
      <c r="L146">
        <v>-39.92</v>
      </c>
      <c r="M146">
        <v>-17.13</v>
      </c>
      <c r="N146">
        <v>0.36</v>
      </c>
      <c r="O146">
        <v>19</v>
      </c>
      <c r="P146">
        <v>19.22</v>
      </c>
      <c r="Q146">
        <v>130.88</v>
      </c>
      <c r="R146">
        <v>146.80000000000001</v>
      </c>
      <c r="S146">
        <v>12000</v>
      </c>
      <c r="T146">
        <v>1092000</v>
      </c>
    </row>
    <row r="147" spans="1:20" x14ac:dyDescent="0.25">
      <c r="A147" t="s">
        <v>20</v>
      </c>
      <c r="B147" t="s">
        <v>21</v>
      </c>
      <c r="C147" t="s">
        <v>22</v>
      </c>
      <c r="D147" t="s">
        <v>96</v>
      </c>
      <c r="E147" t="s">
        <v>97</v>
      </c>
      <c r="F147" t="s">
        <v>25</v>
      </c>
      <c r="G147" t="s">
        <v>26</v>
      </c>
      <c r="H147">
        <v>32</v>
      </c>
      <c r="I147">
        <v>239.64</v>
      </c>
      <c r="J147">
        <v>44.11</v>
      </c>
      <c r="K147">
        <v>18.41</v>
      </c>
      <c r="L147">
        <v>23.77</v>
      </c>
      <c r="M147">
        <v>9.92</v>
      </c>
      <c r="N147">
        <v>0.35</v>
      </c>
      <c r="O147">
        <v>18.7</v>
      </c>
      <c r="P147">
        <v>0</v>
      </c>
      <c r="Q147">
        <v>63</v>
      </c>
      <c r="R147">
        <v>74.58</v>
      </c>
      <c r="S147">
        <v>6500</v>
      </c>
      <c r="T147">
        <v>591500</v>
      </c>
    </row>
    <row r="148" spans="1:20" x14ac:dyDescent="0.25">
      <c r="A148" t="s">
        <v>27</v>
      </c>
      <c r="B148" t="s">
        <v>28</v>
      </c>
      <c r="C148" t="s">
        <v>22</v>
      </c>
      <c r="D148" t="s">
        <v>96</v>
      </c>
      <c r="E148" t="s">
        <v>97</v>
      </c>
      <c r="F148" t="s">
        <v>25</v>
      </c>
      <c r="G148" t="s">
        <v>26</v>
      </c>
      <c r="H148">
        <v>32</v>
      </c>
      <c r="I148">
        <v>242.7</v>
      </c>
      <c r="J148">
        <v>43.38</v>
      </c>
      <c r="K148">
        <v>17.87</v>
      </c>
      <c r="L148">
        <v>16.52</v>
      </c>
      <c r="M148">
        <v>6.81</v>
      </c>
      <c r="N148">
        <v>0.31</v>
      </c>
      <c r="O148">
        <v>50.6</v>
      </c>
      <c r="P148">
        <v>0</v>
      </c>
      <c r="Q148">
        <v>64.790000000000006</v>
      </c>
      <c r="R148">
        <v>73.34</v>
      </c>
      <c r="S148">
        <v>6500</v>
      </c>
      <c r="T148">
        <v>591500</v>
      </c>
    </row>
    <row r="149" spans="1:20" x14ac:dyDescent="0.25">
      <c r="A149" t="s">
        <v>29</v>
      </c>
      <c r="B149" t="s">
        <v>30</v>
      </c>
      <c r="C149" t="s">
        <v>22</v>
      </c>
      <c r="D149" t="s">
        <v>96</v>
      </c>
      <c r="E149" t="s">
        <v>97</v>
      </c>
      <c r="F149" t="s">
        <v>25</v>
      </c>
      <c r="G149" t="s">
        <v>26</v>
      </c>
      <c r="H149">
        <v>32</v>
      </c>
      <c r="I149">
        <v>238.29</v>
      </c>
      <c r="J149">
        <v>42.06</v>
      </c>
      <c r="K149">
        <v>17.649999999999999</v>
      </c>
      <c r="L149">
        <v>18.920000000000002</v>
      </c>
      <c r="M149">
        <v>7.94</v>
      </c>
      <c r="N149">
        <v>0.33</v>
      </c>
      <c r="O149">
        <v>26.9</v>
      </c>
      <c r="P149">
        <v>0</v>
      </c>
      <c r="Q149">
        <v>60.46</v>
      </c>
      <c r="R149">
        <v>71.11</v>
      </c>
      <c r="S149">
        <v>6500</v>
      </c>
      <c r="T149">
        <v>591500</v>
      </c>
    </row>
    <row r="150" spans="1:20" x14ac:dyDescent="0.25">
      <c r="A150" t="s">
        <v>31</v>
      </c>
      <c r="B150" t="s">
        <v>32</v>
      </c>
      <c r="C150" t="s">
        <v>22</v>
      </c>
      <c r="D150" t="s">
        <v>96</v>
      </c>
      <c r="E150" t="s">
        <v>97</v>
      </c>
      <c r="F150" t="s">
        <v>25</v>
      </c>
      <c r="G150" t="s">
        <v>26</v>
      </c>
      <c r="H150">
        <v>32</v>
      </c>
      <c r="I150">
        <v>222.35</v>
      </c>
      <c r="J150">
        <v>45.53</v>
      </c>
      <c r="K150">
        <v>20.48</v>
      </c>
      <c r="L150">
        <v>26.98</v>
      </c>
      <c r="M150">
        <v>12.13</v>
      </c>
      <c r="N150">
        <v>0.32</v>
      </c>
      <c r="O150">
        <v>31.5</v>
      </c>
      <c r="P150">
        <v>0</v>
      </c>
      <c r="Q150">
        <v>65.66</v>
      </c>
      <c r="R150">
        <v>76.97</v>
      </c>
      <c r="S150">
        <v>6500</v>
      </c>
      <c r="T150">
        <v>591500</v>
      </c>
    </row>
    <row r="151" spans="1:20" x14ac:dyDescent="0.25">
      <c r="A151" t="s">
        <v>33</v>
      </c>
      <c r="B151" t="s">
        <v>34</v>
      </c>
      <c r="C151" t="s">
        <v>22</v>
      </c>
      <c r="D151" t="s">
        <v>96</v>
      </c>
      <c r="E151" t="s">
        <v>97</v>
      </c>
      <c r="F151" t="s">
        <v>25</v>
      </c>
      <c r="G151" t="s">
        <v>26</v>
      </c>
      <c r="H151">
        <v>32</v>
      </c>
      <c r="I151">
        <v>227.07</v>
      </c>
      <c r="J151">
        <v>44.59</v>
      </c>
      <c r="K151">
        <v>19.64</v>
      </c>
      <c r="L151">
        <v>13.17</v>
      </c>
      <c r="M151">
        <v>5.8</v>
      </c>
      <c r="N151">
        <v>0.32</v>
      </c>
      <c r="O151">
        <v>60</v>
      </c>
      <c r="P151">
        <v>0</v>
      </c>
      <c r="Q151">
        <v>66.66</v>
      </c>
      <c r="R151">
        <v>75.38</v>
      </c>
      <c r="S151">
        <v>6500</v>
      </c>
      <c r="T151">
        <v>591500</v>
      </c>
    </row>
    <row r="152" spans="1:20" x14ac:dyDescent="0.25">
      <c r="A152" t="s">
        <v>35</v>
      </c>
      <c r="B152" t="s">
        <v>36</v>
      </c>
      <c r="C152" t="s">
        <v>37</v>
      </c>
      <c r="D152" t="s">
        <v>96</v>
      </c>
      <c r="E152" t="s">
        <v>97</v>
      </c>
      <c r="F152" t="s">
        <v>25</v>
      </c>
      <c r="G152" t="s">
        <v>26</v>
      </c>
      <c r="H152">
        <v>32</v>
      </c>
      <c r="I152">
        <v>66.099999999999994</v>
      </c>
      <c r="J152">
        <v>14.01</v>
      </c>
      <c r="K152">
        <v>21.2</v>
      </c>
      <c r="L152">
        <v>-21.38</v>
      </c>
      <c r="M152">
        <v>-32.340000000000003</v>
      </c>
      <c r="N152">
        <v>0.08</v>
      </c>
      <c r="O152">
        <v>60.5</v>
      </c>
      <c r="P152">
        <v>0</v>
      </c>
      <c r="Q152">
        <v>20.57</v>
      </c>
      <c r="R152">
        <v>23.69</v>
      </c>
      <c r="S152">
        <v>6500</v>
      </c>
      <c r="T152">
        <v>591500</v>
      </c>
    </row>
    <row r="153" spans="1:20" x14ac:dyDescent="0.25">
      <c r="A153" t="s">
        <v>38</v>
      </c>
      <c r="B153" t="s">
        <v>39</v>
      </c>
      <c r="C153" t="s">
        <v>37</v>
      </c>
      <c r="D153" t="s">
        <v>96</v>
      </c>
      <c r="E153" t="s">
        <v>97</v>
      </c>
      <c r="F153" t="s">
        <v>25</v>
      </c>
      <c r="G153" t="s">
        <v>26</v>
      </c>
      <c r="H153">
        <v>32</v>
      </c>
      <c r="I153">
        <v>47.61</v>
      </c>
      <c r="J153">
        <v>29.83</v>
      </c>
      <c r="K153">
        <v>62.65</v>
      </c>
      <c r="L153">
        <v>-17.86</v>
      </c>
      <c r="M153">
        <v>-37.5</v>
      </c>
      <c r="N153">
        <v>7.0000000000000007E-2</v>
      </c>
      <c r="O153">
        <v>27.9</v>
      </c>
      <c r="P153">
        <v>0</v>
      </c>
      <c r="Q153">
        <v>44.05</v>
      </c>
      <c r="R153">
        <v>50.43</v>
      </c>
      <c r="S153">
        <v>6500</v>
      </c>
      <c r="T153">
        <v>591500</v>
      </c>
    </row>
    <row r="154" spans="1:20" x14ac:dyDescent="0.25">
      <c r="A154" t="s">
        <v>40</v>
      </c>
      <c r="B154" t="s">
        <v>41</v>
      </c>
      <c r="C154" t="s">
        <v>37</v>
      </c>
      <c r="D154" t="s">
        <v>96</v>
      </c>
      <c r="E154" t="s">
        <v>97</v>
      </c>
      <c r="F154" t="s">
        <v>25</v>
      </c>
      <c r="G154" t="s">
        <v>26</v>
      </c>
      <c r="H154">
        <v>32</v>
      </c>
      <c r="I154">
        <v>77.06</v>
      </c>
      <c r="J154">
        <v>27.01</v>
      </c>
      <c r="K154">
        <v>35.049999999999997</v>
      </c>
      <c r="L154">
        <v>-31.5</v>
      </c>
      <c r="M154">
        <v>-40.869999999999997</v>
      </c>
      <c r="N154">
        <v>0.11</v>
      </c>
      <c r="O154">
        <v>6.9</v>
      </c>
      <c r="P154">
        <v>0</v>
      </c>
      <c r="Q154">
        <v>39.950000000000003</v>
      </c>
      <c r="R154">
        <v>45.66</v>
      </c>
      <c r="S154">
        <v>6500</v>
      </c>
      <c r="T154">
        <v>591500</v>
      </c>
    </row>
    <row r="155" spans="1:20" x14ac:dyDescent="0.25">
      <c r="A155" t="s">
        <v>42</v>
      </c>
      <c r="B155" t="s">
        <v>43</v>
      </c>
      <c r="C155" t="s">
        <v>37</v>
      </c>
      <c r="D155" t="s">
        <v>96</v>
      </c>
      <c r="E155" t="s">
        <v>97</v>
      </c>
      <c r="F155" t="s">
        <v>25</v>
      </c>
      <c r="G155" t="s">
        <v>26</v>
      </c>
      <c r="H155">
        <v>32</v>
      </c>
      <c r="I155">
        <v>46.21</v>
      </c>
      <c r="J155">
        <v>50.73</v>
      </c>
      <c r="K155">
        <v>109.79</v>
      </c>
      <c r="L155">
        <v>-12.45</v>
      </c>
      <c r="M155">
        <v>-26.95</v>
      </c>
      <c r="N155">
        <v>7.0000000000000007E-2</v>
      </c>
      <c r="O155">
        <v>30.5</v>
      </c>
      <c r="P155">
        <v>0</v>
      </c>
      <c r="Q155">
        <v>75.489999999999995</v>
      </c>
      <c r="R155">
        <v>85.77</v>
      </c>
      <c r="S155">
        <v>6500</v>
      </c>
      <c r="T155">
        <v>591500</v>
      </c>
    </row>
    <row r="156" spans="1:20" x14ac:dyDescent="0.25">
      <c r="A156" t="s">
        <v>44</v>
      </c>
      <c r="B156" t="s">
        <v>45</v>
      </c>
      <c r="C156" t="s">
        <v>37</v>
      </c>
      <c r="D156" t="s">
        <v>96</v>
      </c>
      <c r="E156" t="s">
        <v>97</v>
      </c>
      <c r="F156" t="s">
        <v>25</v>
      </c>
      <c r="G156" t="s">
        <v>26</v>
      </c>
      <c r="H156">
        <v>32</v>
      </c>
      <c r="I156">
        <v>69.27</v>
      </c>
      <c r="J156">
        <v>53.78</v>
      </c>
      <c r="K156">
        <v>77.64</v>
      </c>
      <c r="L156">
        <v>-14.98</v>
      </c>
      <c r="M156">
        <v>-21.62</v>
      </c>
      <c r="N156">
        <v>0.1</v>
      </c>
      <c r="O156">
        <v>22.3</v>
      </c>
      <c r="P156">
        <v>0.12</v>
      </c>
      <c r="Q156">
        <v>76.83</v>
      </c>
      <c r="R156">
        <v>90.92</v>
      </c>
      <c r="S156">
        <v>6500</v>
      </c>
      <c r="T156">
        <v>591500</v>
      </c>
    </row>
    <row r="157" spans="1:20" x14ac:dyDescent="0.25">
      <c r="A157" t="s">
        <v>46</v>
      </c>
      <c r="B157" t="s">
        <v>47</v>
      </c>
      <c r="C157" t="s">
        <v>48</v>
      </c>
      <c r="D157" t="s">
        <v>96</v>
      </c>
      <c r="E157" t="s">
        <v>97</v>
      </c>
      <c r="F157" t="s">
        <v>25</v>
      </c>
      <c r="G157" t="s">
        <v>26</v>
      </c>
      <c r="H157">
        <v>32</v>
      </c>
      <c r="I157">
        <v>160.30000000000001</v>
      </c>
      <c r="J157">
        <v>53.19</v>
      </c>
      <c r="K157">
        <v>33.18</v>
      </c>
      <c r="L157">
        <v>7.12</v>
      </c>
      <c r="M157">
        <v>4.4400000000000004</v>
      </c>
      <c r="N157">
        <v>0.23</v>
      </c>
      <c r="O157">
        <v>25.5</v>
      </c>
      <c r="P157">
        <v>0</v>
      </c>
      <c r="Q157">
        <v>78.97</v>
      </c>
      <c r="R157">
        <v>89.92</v>
      </c>
      <c r="S157">
        <v>6500</v>
      </c>
      <c r="T157">
        <v>591500</v>
      </c>
    </row>
    <row r="158" spans="1:20" x14ac:dyDescent="0.25">
      <c r="A158" t="s">
        <v>49</v>
      </c>
      <c r="B158" t="s">
        <v>50</v>
      </c>
      <c r="C158" t="s">
        <v>48</v>
      </c>
      <c r="D158" t="s">
        <v>96</v>
      </c>
      <c r="E158" t="s">
        <v>97</v>
      </c>
      <c r="F158" t="s">
        <v>25</v>
      </c>
      <c r="G158" t="s">
        <v>26</v>
      </c>
      <c r="H158">
        <v>32</v>
      </c>
      <c r="I158">
        <v>156.54</v>
      </c>
      <c r="J158">
        <v>61.66</v>
      </c>
      <c r="K158">
        <v>39.39</v>
      </c>
      <c r="L158">
        <v>4.76</v>
      </c>
      <c r="M158">
        <v>3.04</v>
      </c>
      <c r="N158">
        <v>0.21</v>
      </c>
      <c r="O158">
        <v>8.6</v>
      </c>
      <c r="P158">
        <v>0.84</v>
      </c>
      <c r="Q158">
        <v>86.82</v>
      </c>
      <c r="R158">
        <v>104.25</v>
      </c>
      <c r="S158">
        <v>6500</v>
      </c>
      <c r="T158">
        <v>591500</v>
      </c>
    </row>
    <row r="159" spans="1:20" x14ac:dyDescent="0.25">
      <c r="A159" t="s">
        <v>51</v>
      </c>
      <c r="B159" t="s">
        <v>52</v>
      </c>
      <c r="C159" t="s">
        <v>48</v>
      </c>
      <c r="D159" t="s">
        <v>96</v>
      </c>
      <c r="E159" t="s">
        <v>97</v>
      </c>
      <c r="F159" t="s">
        <v>25</v>
      </c>
      <c r="G159" t="s">
        <v>26</v>
      </c>
      <c r="H159">
        <v>32</v>
      </c>
      <c r="I159">
        <v>175.02</v>
      </c>
      <c r="J159">
        <v>48.17</v>
      </c>
      <c r="K159">
        <v>27.52</v>
      </c>
      <c r="L159">
        <v>7.12</v>
      </c>
      <c r="M159">
        <v>4.07</v>
      </c>
      <c r="N159">
        <v>0.23</v>
      </c>
      <c r="O159">
        <v>54.1</v>
      </c>
      <c r="P159">
        <v>0</v>
      </c>
      <c r="Q159">
        <v>72.010000000000005</v>
      </c>
      <c r="R159">
        <v>81.44</v>
      </c>
      <c r="S159">
        <v>6500</v>
      </c>
      <c r="T159">
        <v>591500</v>
      </c>
    </row>
    <row r="160" spans="1:20" x14ac:dyDescent="0.25">
      <c r="A160" t="s">
        <v>53</v>
      </c>
      <c r="B160" t="s">
        <v>54</v>
      </c>
      <c r="C160" t="s">
        <v>55</v>
      </c>
      <c r="D160" t="s">
        <v>96</v>
      </c>
      <c r="E160" t="s">
        <v>97</v>
      </c>
      <c r="F160" t="s">
        <v>25</v>
      </c>
      <c r="G160" t="s">
        <v>26</v>
      </c>
      <c r="H160">
        <v>32</v>
      </c>
      <c r="I160">
        <v>205.82</v>
      </c>
      <c r="J160">
        <v>77.86</v>
      </c>
      <c r="K160">
        <v>37.83</v>
      </c>
      <c r="L160">
        <v>12.28</v>
      </c>
      <c r="M160">
        <v>5.97</v>
      </c>
      <c r="N160">
        <v>0.31</v>
      </c>
      <c r="O160">
        <v>12.4</v>
      </c>
      <c r="P160">
        <v>4.47</v>
      </c>
      <c r="Q160">
        <v>109.53</v>
      </c>
      <c r="R160">
        <v>131.63</v>
      </c>
      <c r="S160">
        <v>6500</v>
      </c>
      <c r="T160">
        <v>591500</v>
      </c>
    </row>
    <row r="161" spans="1:20" x14ac:dyDescent="0.25">
      <c r="A161" t="s">
        <v>56</v>
      </c>
      <c r="B161" t="s">
        <v>57</v>
      </c>
      <c r="C161" t="s">
        <v>55</v>
      </c>
      <c r="D161" t="s">
        <v>96</v>
      </c>
      <c r="E161" t="s">
        <v>97</v>
      </c>
      <c r="F161" t="s">
        <v>25</v>
      </c>
      <c r="G161" t="s">
        <v>26</v>
      </c>
      <c r="H161">
        <v>32</v>
      </c>
      <c r="I161">
        <v>210.25</v>
      </c>
      <c r="J161">
        <v>55.89</v>
      </c>
      <c r="K161">
        <v>26.58</v>
      </c>
      <c r="L161">
        <v>10.57</v>
      </c>
      <c r="M161">
        <v>5.03</v>
      </c>
      <c r="N161">
        <v>0.28000000000000003</v>
      </c>
      <c r="O161">
        <v>14.4</v>
      </c>
      <c r="P161">
        <v>0.4</v>
      </c>
      <c r="Q161">
        <v>80.69</v>
      </c>
      <c r="R161">
        <v>94.49</v>
      </c>
      <c r="S161">
        <v>6500</v>
      </c>
      <c r="T161">
        <v>591500</v>
      </c>
    </row>
    <row r="162" spans="1:20" x14ac:dyDescent="0.25">
      <c r="A162" t="s">
        <v>58</v>
      </c>
      <c r="B162" t="s">
        <v>59</v>
      </c>
      <c r="C162" t="s">
        <v>55</v>
      </c>
      <c r="D162" t="s">
        <v>96</v>
      </c>
      <c r="E162" t="s">
        <v>97</v>
      </c>
      <c r="F162" t="s">
        <v>25</v>
      </c>
      <c r="G162" t="s">
        <v>26</v>
      </c>
      <c r="H162">
        <v>32</v>
      </c>
      <c r="I162">
        <v>245.24</v>
      </c>
      <c r="J162">
        <v>62.44</v>
      </c>
      <c r="K162">
        <v>25.46</v>
      </c>
      <c r="L162">
        <v>11.67</v>
      </c>
      <c r="M162">
        <v>4.76</v>
      </c>
      <c r="N162">
        <v>0.31</v>
      </c>
      <c r="O162">
        <v>58.5</v>
      </c>
      <c r="P162">
        <v>6.32</v>
      </c>
      <c r="Q162">
        <v>93.25</v>
      </c>
      <c r="R162">
        <v>105.56</v>
      </c>
      <c r="S162">
        <v>6500</v>
      </c>
      <c r="T162">
        <v>591500</v>
      </c>
    </row>
    <row r="163" spans="1:20" x14ac:dyDescent="0.25">
      <c r="A163" t="s">
        <v>60</v>
      </c>
      <c r="B163" t="s">
        <v>61</v>
      </c>
      <c r="C163" t="s">
        <v>62</v>
      </c>
      <c r="D163" t="s">
        <v>96</v>
      </c>
      <c r="E163" t="s">
        <v>97</v>
      </c>
      <c r="F163" t="s">
        <v>25</v>
      </c>
      <c r="G163" t="s">
        <v>26</v>
      </c>
      <c r="H163">
        <v>32</v>
      </c>
      <c r="I163">
        <v>226.86</v>
      </c>
      <c r="J163">
        <v>57.45</v>
      </c>
      <c r="K163">
        <v>25.32</v>
      </c>
      <c r="L163">
        <v>25.77</v>
      </c>
      <c r="M163">
        <v>11.36</v>
      </c>
      <c r="N163">
        <v>0.3</v>
      </c>
      <c r="O163">
        <v>60.8</v>
      </c>
      <c r="P163">
        <v>2.77</v>
      </c>
      <c r="Q163">
        <v>84.29</v>
      </c>
      <c r="R163">
        <v>97.13</v>
      </c>
      <c r="S163">
        <v>6500</v>
      </c>
      <c r="T163">
        <v>591500</v>
      </c>
    </row>
    <row r="164" spans="1:20" x14ac:dyDescent="0.25">
      <c r="A164" t="s">
        <v>63</v>
      </c>
      <c r="B164" t="s">
        <v>64</v>
      </c>
      <c r="C164" t="s">
        <v>62</v>
      </c>
      <c r="D164" t="s">
        <v>96</v>
      </c>
      <c r="E164" t="s">
        <v>97</v>
      </c>
      <c r="F164" t="s">
        <v>25</v>
      </c>
      <c r="G164" t="s">
        <v>26</v>
      </c>
      <c r="H164">
        <v>32</v>
      </c>
      <c r="I164">
        <v>222.17</v>
      </c>
      <c r="J164">
        <v>60.32</v>
      </c>
      <c r="K164">
        <v>27.15</v>
      </c>
      <c r="L164">
        <v>23.61</v>
      </c>
      <c r="M164">
        <v>10.63</v>
      </c>
      <c r="N164">
        <v>0.33</v>
      </c>
      <c r="O164">
        <v>15.5</v>
      </c>
      <c r="P164">
        <v>1.24</v>
      </c>
      <c r="Q164">
        <v>88.18</v>
      </c>
      <c r="R164">
        <v>101.97</v>
      </c>
      <c r="S164">
        <v>6500</v>
      </c>
      <c r="T164">
        <v>591500</v>
      </c>
    </row>
    <row r="165" spans="1:20" x14ac:dyDescent="0.25">
      <c r="A165" t="s">
        <v>65</v>
      </c>
      <c r="B165" t="s">
        <v>66</v>
      </c>
      <c r="C165" t="s">
        <v>62</v>
      </c>
      <c r="D165" t="s">
        <v>96</v>
      </c>
      <c r="E165" t="s">
        <v>97</v>
      </c>
      <c r="F165" t="s">
        <v>25</v>
      </c>
      <c r="G165" t="s">
        <v>26</v>
      </c>
      <c r="H165">
        <v>32</v>
      </c>
      <c r="I165">
        <v>237.19</v>
      </c>
      <c r="J165">
        <v>57.68</v>
      </c>
      <c r="K165">
        <v>24.32</v>
      </c>
      <c r="L165">
        <v>28.28</v>
      </c>
      <c r="M165">
        <v>11.92</v>
      </c>
      <c r="N165">
        <v>0.36</v>
      </c>
      <c r="O165">
        <v>60</v>
      </c>
      <c r="P165">
        <v>2.89</v>
      </c>
      <c r="Q165">
        <v>85.16</v>
      </c>
      <c r="R165">
        <v>97.52</v>
      </c>
      <c r="S165">
        <v>6500</v>
      </c>
      <c r="T165">
        <v>591500</v>
      </c>
    </row>
    <row r="166" spans="1:20" x14ac:dyDescent="0.25">
      <c r="A166" t="s">
        <v>67</v>
      </c>
      <c r="B166" t="s">
        <v>68</v>
      </c>
      <c r="C166" t="s">
        <v>69</v>
      </c>
      <c r="D166" t="s">
        <v>96</v>
      </c>
      <c r="E166" t="s">
        <v>97</v>
      </c>
      <c r="F166" t="s">
        <v>25</v>
      </c>
      <c r="G166" t="s">
        <v>26</v>
      </c>
      <c r="H166">
        <v>32</v>
      </c>
      <c r="I166">
        <v>225.12</v>
      </c>
      <c r="J166">
        <v>53.21</v>
      </c>
      <c r="K166">
        <v>23.64</v>
      </c>
      <c r="L166">
        <v>22.3</v>
      </c>
      <c r="M166">
        <v>9.91</v>
      </c>
      <c r="N166">
        <v>0.34</v>
      </c>
      <c r="O166">
        <v>0.3</v>
      </c>
      <c r="P166">
        <v>0</v>
      </c>
      <c r="Q166">
        <v>78.33</v>
      </c>
      <c r="R166">
        <v>89.96</v>
      </c>
      <c r="S166">
        <v>6500</v>
      </c>
      <c r="T166">
        <v>591500</v>
      </c>
    </row>
    <row r="167" spans="1:20" x14ac:dyDescent="0.25">
      <c r="A167" t="s">
        <v>70</v>
      </c>
      <c r="B167" t="s">
        <v>71</v>
      </c>
      <c r="C167" t="s">
        <v>69</v>
      </c>
      <c r="D167" t="s">
        <v>96</v>
      </c>
      <c r="E167" t="s">
        <v>97</v>
      </c>
      <c r="F167" t="s">
        <v>25</v>
      </c>
      <c r="G167" t="s">
        <v>26</v>
      </c>
      <c r="H167">
        <v>32</v>
      </c>
      <c r="I167">
        <v>232.1</v>
      </c>
      <c r="J167">
        <v>58.57</v>
      </c>
      <c r="K167">
        <v>25.23</v>
      </c>
      <c r="L167">
        <v>14.28</v>
      </c>
      <c r="M167">
        <v>6.15</v>
      </c>
      <c r="N167">
        <v>0.34</v>
      </c>
      <c r="O167">
        <v>51.8</v>
      </c>
      <c r="P167">
        <v>3.04</v>
      </c>
      <c r="Q167">
        <v>84.61</v>
      </c>
      <c r="R167">
        <v>99.02</v>
      </c>
      <c r="S167">
        <v>6500</v>
      </c>
      <c r="T167">
        <v>591500</v>
      </c>
    </row>
    <row r="168" spans="1:20" x14ac:dyDescent="0.25">
      <c r="A168" t="s">
        <v>72</v>
      </c>
      <c r="B168" t="s">
        <v>73</v>
      </c>
      <c r="C168" t="s">
        <v>69</v>
      </c>
      <c r="D168" t="s">
        <v>96</v>
      </c>
      <c r="E168" t="s">
        <v>97</v>
      </c>
      <c r="F168" t="s">
        <v>25</v>
      </c>
      <c r="G168" t="s">
        <v>26</v>
      </c>
      <c r="H168">
        <v>32</v>
      </c>
      <c r="I168">
        <v>234.6</v>
      </c>
      <c r="J168">
        <v>60.2</v>
      </c>
      <c r="K168">
        <v>25.66</v>
      </c>
      <c r="L168">
        <v>32.75</v>
      </c>
      <c r="M168">
        <v>13.96</v>
      </c>
      <c r="N168">
        <v>0.32</v>
      </c>
      <c r="O168">
        <v>36.5</v>
      </c>
      <c r="P168">
        <v>2.88</v>
      </c>
      <c r="Q168">
        <v>84.06</v>
      </c>
      <c r="R168">
        <v>101.78</v>
      </c>
      <c r="S168">
        <v>6500</v>
      </c>
      <c r="T168">
        <v>591500</v>
      </c>
    </row>
    <row r="169" spans="1:20" x14ac:dyDescent="0.25">
      <c r="A169" t="s">
        <v>74</v>
      </c>
      <c r="B169" t="s">
        <v>75</v>
      </c>
      <c r="C169" t="s">
        <v>69</v>
      </c>
      <c r="D169" t="s">
        <v>96</v>
      </c>
      <c r="E169" t="s">
        <v>97</v>
      </c>
      <c r="F169" t="s">
        <v>25</v>
      </c>
      <c r="G169" t="s">
        <v>26</v>
      </c>
      <c r="H169">
        <v>32</v>
      </c>
      <c r="I169">
        <v>225.71</v>
      </c>
      <c r="J169">
        <v>55.59</v>
      </c>
      <c r="K169">
        <v>24.63</v>
      </c>
      <c r="L169">
        <v>31.01</v>
      </c>
      <c r="M169">
        <v>13.74</v>
      </c>
      <c r="N169">
        <v>0.34</v>
      </c>
      <c r="O169">
        <v>64.099999999999994</v>
      </c>
      <c r="P169">
        <v>1.58</v>
      </c>
      <c r="Q169">
        <v>80.400000000000006</v>
      </c>
      <c r="R169">
        <v>93.98</v>
      </c>
      <c r="S169">
        <v>6500</v>
      </c>
      <c r="T169">
        <v>591500</v>
      </c>
    </row>
    <row r="170" spans="1:20" x14ac:dyDescent="0.25">
      <c r="A170" t="s">
        <v>76</v>
      </c>
      <c r="B170" t="s">
        <v>77</v>
      </c>
      <c r="C170" t="s">
        <v>69</v>
      </c>
      <c r="D170" t="s">
        <v>96</v>
      </c>
      <c r="E170" t="s">
        <v>97</v>
      </c>
      <c r="F170" t="s">
        <v>25</v>
      </c>
      <c r="G170" t="s">
        <v>26</v>
      </c>
      <c r="H170">
        <v>32</v>
      </c>
      <c r="I170">
        <v>242.56</v>
      </c>
      <c r="J170">
        <v>66.56</v>
      </c>
      <c r="K170">
        <v>27.44</v>
      </c>
      <c r="L170">
        <v>31.42</v>
      </c>
      <c r="M170">
        <v>12.95</v>
      </c>
      <c r="N170">
        <v>0.36</v>
      </c>
      <c r="O170">
        <v>7.8</v>
      </c>
      <c r="P170">
        <v>1.3</v>
      </c>
      <c r="Q170">
        <v>94.78</v>
      </c>
      <c r="R170">
        <v>112.52</v>
      </c>
      <c r="S170">
        <v>6500</v>
      </c>
      <c r="T170">
        <v>591500</v>
      </c>
    </row>
    <row r="171" spans="1:20" x14ac:dyDescent="0.25">
      <c r="A171" t="s">
        <v>78</v>
      </c>
      <c r="B171" t="s">
        <v>79</v>
      </c>
      <c r="C171" t="s">
        <v>80</v>
      </c>
      <c r="D171" t="s">
        <v>96</v>
      </c>
      <c r="E171" t="s">
        <v>97</v>
      </c>
      <c r="F171" t="s">
        <v>25</v>
      </c>
      <c r="G171" t="s">
        <v>26</v>
      </c>
      <c r="H171">
        <v>32</v>
      </c>
      <c r="I171">
        <v>218.83</v>
      </c>
      <c r="J171">
        <v>60.06</v>
      </c>
      <c r="K171">
        <v>27.45</v>
      </c>
      <c r="L171">
        <v>28.12</v>
      </c>
      <c r="M171">
        <v>12.85</v>
      </c>
      <c r="N171">
        <v>0.32</v>
      </c>
      <c r="O171">
        <v>56.9</v>
      </c>
      <c r="P171">
        <v>4.38</v>
      </c>
      <c r="Q171">
        <v>85.13</v>
      </c>
      <c r="R171">
        <v>101.54</v>
      </c>
      <c r="S171">
        <v>6500</v>
      </c>
      <c r="T171">
        <v>591500</v>
      </c>
    </row>
    <row r="172" spans="1:20" x14ac:dyDescent="0.25">
      <c r="A172" t="s">
        <v>81</v>
      </c>
      <c r="B172" t="s">
        <v>82</v>
      </c>
      <c r="C172" t="s">
        <v>80</v>
      </c>
      <c r="D172" t="s">
        <v>96</v>
      </c>
      <c r="E172" t="s">
        <v>97</v>
      </c>
      <c r="F172" t="s">
        <v>25</v>
      </c>
      <c r="G172" t="s">
        <v>26</v>
      </c>
      <c r="H172">
        <v>32</v>
      </c>
      <c r="I172">
        <v>236.27</v>
      </c>
      <c r="J172">
        <v>71.23</v>
      </c>
      <c r="K172">
        <v>30.15</v>
      </c>
      <c r="L172">
        <v>12.75</v>
      </c>
      <c r="M172">
        <v>5.4</v>
      </c>
      <c r="N172">
        <v>0.35</v>
      </c>
      <c r="O172">
        <v>50.1</v>
      </c>
      <c r="P172">
        <v>12.07</v>
      </c>
      <c r="Q172">
        <v>101.77</v>
      </c>
      <c r="R172">
        <v>120.43</v>
      </c>
      <c r="S172">
        <v>6500</v>
      </c>
      <c r="T172">
        <v>591500</v>
      </c>
    </row>
    <row r="173" spans="1:20" x14ac:dyDescent="0.25">
      <c r="A173" t="s">
        <v>83</v>
      </c>
      <c r="B173" t="s">
        <v>84</v>
      </c>
      <c r="C173" t="s">
        <v>80</v>
      </c>
      <c r="D173" t="s">
        <v>96</v>
      </c>
      <c r="E173" t="s">
        <v>97</v>
      </c>
      <c r="F173" t="s">
        <v>25</v>
      </c>
      <c r="G173" t="s">
        <v>26</v>
      </c>
      <c r="H173">
        <v>32</v>
      </c>
      <c r="I173">
        <v>230.45</v>
      </c>
      <c r="J173">
        <v>66.38</v>
      </c>
      <c r="K173">
        <v>28.8</v>
      </c>
      <c r="L173">
        <v>21.49</v>
      </c>
      <c r="M173">
        <v>9.32</v>
      </c>
      <c r="N173">
        <v>0.32</v>
      </c>
      <c r="O173">
        <v>25.4</v>
      </c>
      <c r="P173">
        <v>4.16</v>
      </c>
      <c r="Q173">
        <v>93.24</v>
      </c>
      <c r="R173">
        <v>112.22</v>
      </c>
      <c r="S173">
        <v>6500</v>
      </c>
      <c r="T173">
        <v>591500</v>
      </c>
    </row>
    <row r="174" spans="1:20" x14ac:dyDescent="0.25">
      <c r="A174" t="s">
        <v>85</v>
      </c>
      <c r="B174" t="s">
        <v>86</v>
      </c>
      <c r="C174" t="s">
        <v>80</v>
      </c>
      <c r="D174" t="s">
        <v>96</v>
      </c>
      <c r="E174" t="s">
        <v>97</v>
      </c>
      <c r="F174" t="s">
        <v>25</v>
      </c>
      <c r="G174" t="s">
        <v>26</v>
      </c>
      <c r="H174">
        <v>32</v>
      </c>
      <c r="I174">
        <v>237.24</v>
      </c>
      <c r="J174">
        <v>66.05</v>
      </c>
      <c r="K174">
        <v>27.84</v>
      </c>
      <c r="L174">
        <v>31.06</v>
      </c>
      <c r="M174">
        <v>13.09</v>
      </c>
      <c r="N174">
        <v>0.31</v>
      </c>
      <c r="O174">
        <v>2.5</v>
      </c>
      <c r="P174">
        <v>0.4</v>
      </c>
      <c r="Q174">
        <v>99.34</v>
      </c>
      <c r="R174">
        <v>111.67</v>
      </c>
      <c r="S174">
        <v>6500</v>
      </c>
      <c r="T174">
        <v>591500</v>
      </c>
    </row>
    <row r="175" spans="1:20" x14ac:dyDescent="0.25">
      <c r="A175" t="s">
        <v>87</v>
      </c>
      <c r="B175" t="s">
        <v>88</v>
      </c>
      <c r="C175" t="s">
        <v>89</v>
      </c>
      <c r="D175" t="s">
        <v>96</v>
      </c>
      <c r="E175" t="s">
        <v>97</v>
      </c>
      <c r="F175" t="s">
        <v>25</v>
      </c>
      <c r="G175" t="s">
        <v>26</v>
      </c>
      <c r="H175">
        <v>32</v>
      </c>
      <c r="I175">
        <v>123.91</v>
      </c>
      <c r="J175">
        <v>86.83</v>
      </c>
      <c r="K175">
        <v>70.069999999999993</v>
      </c>
      <c r="L175">
        <v>-12.21</v>
      </c>
      <c r="M175">
        <v>-9.85</v>
      </c>
      <c r="N175">
        <v>0.18</v>
      </c>
      <c r="O175">
        <v>22.7</v>
      </c>
      <c r="P175">
        <v>12.44</v>
      </c>
      <c r="Q175">
        <v>130.88</v>
      </c>
      <c r="R175">
        <v>146.80000000000001</v>
      </c>
      <c r="S175">
        <v>6500</v>
      </c>
      <c r="T175">
        <v>591500</v>
      </c>
    </row>
    <row r="176" spans="1:20" x14ac:dyDescent="0.25">
      <c r="A176" t="s">
        <v>20</v>
      </c>
      <c r="B176" t="s">
        <v>21</v>
      </c>
      <c r="C176" t="s">
        <v>22</v>
      </c>
      <c r="D176" t="s">
        <v>98</v>
      </c>
      <c r="E176" t="s">
        <v>99</v>
      </c>
      <c r="F176" t="s">
        <v>25</v>
      </c>
      <c r="G176" t="s">
        <v>26</v>
      </c>
      <c r="H176">
        <v>28</v>
      </c>
      <c r="I176">
        <v>169.72</v>
      </c>
      <c r="J176">
        <v>35.29</v>
      </c>
      <c r="K176">
        <v>20.79</v>
      </c>
      <c r="L176">
        <v>21.36</v>
      </c>
      <c r="M176">
        <v>12.59</v>
      </c>
      <c r="N176">
        <v>0.25</v>
      </c>
      <c r="O176">
        <v>15.7</v>
      </c>
      <c r="P176">
        <v>0</v>
      </c>
      <c r="Q176">
        <v>63</v>
      </c>
      <c r="R176">
        <v>74.58</v>
      </c>
      <c r="S176">
        <v>5200</v>
      </c>
      <c r="T176">
        <v>473200</v>
      </c>
    </row>
    <row r="177" spans="1:20" x14ac:dyDescent="0.25">
      <c r="A177" t="s">
        <v>27</v>
      </c>
      <c r="B177" t="s">
        <v>28</v>
      </c>
      <c r="C177" t="s">
        <v>22</v>
      </c>
      <c r="D177" t="s">
        <v>98</v>
      </c>
      <c r="E177" t="s">
        <v>99</v>
      </c>
      <c r="F177" t="s">
        <v>25</v>
      </c>
      <c r="G177" t="s">
        <v>26</v>
      </c>
      <c r="H177">
        <v>28</v>
      </c>
      <c r="I177">
        <v>168.36</v>
      </c>
      <c r="J177">
        <v>34.700000000000003</v>
      </c>
      <c r="K177">
        <v>20.61</v>
      </c>
      <c r="L177">
        <v>22.06</v>
      </c>
      <c r="M177">
        <v>13.1</v>
      </c>
      <c r="N177">
        <v>0.25</v>
      </c>
      <c r="O177">
        <v>11.2</v>
      </c>
      <c r="P177">
        <v>0</v>
      </c>
      <c r="Q177">
        <v>64.790000000000006</v>
      </c>
      <c r="R177">
        <v>73.34</v>
      </c>
      <c r="S177">
        <v>5200</v>
      </c>
      <c r="T177">
        <v>473200</v>
      </c>
    </row>
    <row r="178" spans="1:20" x14ac:dyDescent="0.25">
      <c r="A178" t="s">
        <v>29</v>
      </c>
      <c r="B178" t="s">
        <v>30</v>
      </c>
      <c r="C178" t="s">
        <v>22</v>
      </c>
      <c r="D178" t="s">
        <v>98</v>
      </c>
      <c r="E178" t="s">
        <v>99</v>
      </c>
      <c r="F178" t="s">
        <v>25</v>
      </c>
      <c r="G178" t="s">
        <v>26</v>
      </c>
      <c r="H178">
        <v>28</v>
      </c>
      <c r="I178">
        <v>187.95</v>
      </c>
      <c r="J178">
        <v>33.65</v>
      </c>
      <c r="K178">
        <v>17.899999999999999</v>
      </c>
      <c r="L178">
        <v>13.82</v>
      </c>
      <c r="M178">
        <v>7.36</v>
      </c>
      <c r="N178">
        <v>0.31</v>
      </c>
      <c r="O178">
        <v>15</v>
      </c>
      <c r="P178">
        <v>0</v>
      </c>
      <c r="Q178">
        <v>60.46</v>
      </c>
      <c r="R178">
        <v>71.11</v>
      </c>
      <c r="S178">
        <v>5200</v>
      </c>
      <c r="T178">
        <v>473200</v>
      </c>
    </row>
    <row r="179" spans="1:20" x14ac:dyDescent="0.25">
      <c r="A179" t="s">
        <v>31</v>
      </c>
      <c r="B179" t="s">
        <v>32</v>
      </c>
      <c r="C179" t="s">
        <v>22</v>
      </c>
      <c r="D179" t="s">
        <v>98</v>
      </c>
      <c r="E179" t="s">
        <v>99</v>
      </c>
      <c r="F179" t="s">
        <v>25</v>
      </c>
      <c r="G179" t="s">
        <v>26</v>
      </c>
      <c r="H179">
        <v>28</v>
      </c>
      <c r="I179">
        <v>182.79</v>
      </c>
      <c r="J179">
        <v>36.42</v>
      </c>
      <c r="K179">
        <v>19.93</v>
      </c>
      <c r="L179">
        <v>11.55</v>
      </c>
      <c r="M179">
        <v>6.32</v>
      </c>
      <c r="N179">
        <v>0.28999999999999998</v>
      </c>
      <c r="O179">
        <v>28.7</v>
      </c>
      <c r="P179">
        <v>0</v>
      </c>
      <c r="Q179">
        <v>65.66</v>
      </c>
      <c r="R179">
        <v>76.97</v>
      </c>
      <c r="S179">
        <v>5200</v>
      </c>
      <c r="T179">
        <v>473200</v>
      </c>
    </row>
    <row r="180" spans="1:20" x14ac:dyDescent="0.25">
      <c r="A180" t="s">
        <v>33</v>
      </c>
      <c r="B180" t="s">
        <v>34</v>
      </c>
      <c r="C180" t="s">
        <v>22</v>
      </c>
      <c r="D180" t="s">
        <v>98</v>
      </c>
      <c r="E180" t="s">
        <v>99</v>
      </c>
      <c r="F180" t="s">
        <v>25</v>
      </c>
      <c r="G180" t="s">
        <v>26</v>
      </c>
      <c r="H180">
        <v>28</v>
      </c>
      <c r="I180">
        <v>184.42</v>
      </c>
      <c r="J180">
        <v>35.67</v>
      </c>
      <c r="K180">
        <v>19.34</v>
      </c>
      <c r="L180">
        <v>20.84</v>
      </c>
      <c r="M180">
        <v>11.3</v>
      </c>
      <c r="N180">
        <v>0.31</v>
      </c>
      <c r="O180">
        <v>24.5</v>
      </c>
      <c r="P180">
        <v>0</v>
      </c>
      <c r="Q180">
        <v>66.66</v>
      </c>
      <c r="R180">
        <v>75.38</v>
      </c>
      <c r="S180">
        <v>5200</v>
      </c>
      <c r="T180">
        <v>473200</v>
      </c>
    </row>
    <row r="181" spans="1:20" x14ac:dyDescent="0.25">
      <c r="A181" t="s">
        <v>35</v>
      </c>
      <c r="B181" t="s">
        <v>36</v>
      </c>
      <c r="C181" t="s">
        <v>37</v>
      </c>
      <c r="D181" t="s">
        <v>98</v>
      </c>
      <c r="E181" t="s">
        <v>99</v>
      </c>
      <c r="F181" t="s">
        <v>25</v>
      </c>
      <c r="G181" t="s">
        <v>26</v>
      </c>
      <c r="H181">
        <v>28</v>
      </c>
      <c r="I181">
        <v>52.65</v>
      </c>
      <c r="J181">
        <v>11.21</v>
      </c>
      <c r="K181">
        <v>21.29</v>
      </c>
      <c r="L181">
        <v>-10.94</v>
      </c>
      <c r="M181">
        <v>-20.78</v>
      </c>
      <c r="N181">
        <v>0.08</v>
      </c>
      <c r="O181">
        <v>18.899999999999999</v>
      </c>
      <c r="P181">
        <v>0</v>
      </c>
      <c r="Q181">
        <v>20.57</v>
      </c>
      <c r="R181">
        <v>23.69</v>
      </c>
      <c r="S181">
        <v>5200</v>
      </c>
      <c r="T181">
        <v>473200</v>
      </c>
    </row>
    <row r="182" spans="1:20" x14ac:dyDescent="0.25">
      <c r="A182" t="s">
        <v>38</v>
      </c>
      <c r="B182" t="s">
        <v>39</v>
      </c>
      <c r="C182" t="s">
        <v>37</v>
      </c>
      <c r="D182" t="s">
        <v>98</v>
      </c>
      <c r="E182" t="s">
        <v>99</v>
      </c>
      <c r="F182" t="s">
        <v>25</v>
      </c>
      <c r="G182" t="s">
        <v>26</v>
      </c>
      <c r="H182">
        <v>28</v>
      </c>
      <c r="I182">
        <v>53.17</v>
      </c>
      <c r="J182">
        <v>23.86</v>
      </c>
      <c r="K182">
        <v>44.88</v>
      </c>
      <c r="L182">
        <v>-18</v>
      </c>
      <c r="M182">
        <v>-33.86</v>
      </c>
      <c r="N182">
        <v>0.08</v>
      </c>
      <c r="O182">
        <v>35.5</v>
      </c>
      <c r="P182">
        <v>0</v>
      </c>
      <c r="Q182">
        <v>44.05</v>
      </c>
      <c r="R182">
        <v>50.43</v>
      </c>
      <c r="S182">
        <v>5200</v>
      </c>
      <c r="T182">
        <v>473200</v>
      </c>
    </row>
    <row r="183" spans="1:20" x14ac:dyDescent="0.25">
      <c r="A183" t="s">
        <v>40</v>
      </c>
      <c r="B183" t="s">
        <v>41</v>
      </c>
      <c r="C183" t="s">
        <v>37</v>
      </c>
      <c r="D183" t="s">
        <v>98</v>
      </c>
      <c r="E183" t="s">
        <v>99</v>
      </c>
      <c r="F183" t="s">
        <v>25</v>
      </c>
      <c r="G183" t="s">
        <v>26</v>
      </c>
      <c r="H183">
        <v>28</v>
      </c>
      <c r="I183">
        <v>58.99</v>
      </c>
      <c r="J183">
        <v>21.61</v>
      </c>
      <c r="K183">
        <v>36.619999999999997</v>
      </c>
      <c r="L183">
        <v>-25.31</v>
      </c>
      <c r="M183">
        <v>-42.9</v>
      </c>
      <c r="N183">
        <v>0.09</v>
      </c>
      <c r="O183">
        <v>7.2</v>
      </c>
      <c r="P183">
        <v>0</v>
      </c>
      <c r="Q183">
        <v>39.950000000000003</v>
      </c>
      <c r="R183">
        <v>45.66</v>
      </c>
      <c r="S183">
        <v>5200</v>
      </c>
      <c r="T183">
        <v>473200</v>
      </c>
    </row>
    <row r="184" spans="1:20" x14ac:dyDescent="0.25">
      <c r="A184" t="s">
        <v>42</v>
      </c>
      <c r="B184" t="s">
        <v>43</v>
      </c>
      <c r="C184" t="s">
        <v>37</v>
      </c>
      <c r="D184" t="s">
        <v>98</v>
      </c>
      <c r="E184" t="s">
        <v>99</v>
      </c>
      <c r="F184" t="s">
        <v>25</v>
      </c>
      <c r="G184" t="s">
        <v>26</v>
      </c>
      <c r="H184">
        <v>28</v>
      </c>
      <c r="I184">
        <v>57.18</v>
      </c>
      <c r="J184">
        <v>40.590000000000003</v>
      </c>
      <c r="K184">
        <v>70.989999999999995</v>
      </c>
      <c r="L184">
        <v>-23.77</v>
      </c>
      <c r="M184">
        <v>-41.58</v>
      </c>
      <c r="N184">
        <v>0.08</v>
      </c>
      <c r="O184">
        <v>62.6</v>
      </c>
      <c r="P184">
        <v>0</v>
      </c>
      <c r="Q184">
        <v>75.489999999999995</v>
      </c>
      <c r="R184">
        <v>85.77</v>
      </c>
      <c r="S184">
        <v>5200</v>
      </c>
      <c r="T184">
        <v>473200</v>
      </c>
    </row>
    <row r="185" spans="1:20" x14ac:dyDescent="0.25">
      <c r="A185" t="s">
        <v>44</v>
      </c>
      <c r="B185" t="s">
        <v>45</v>
      </c>
      <c r="C185" t="s">
        <v>37</v>
      </c>
      <c r="D185" t="s">
        <v>98</v>
      </c>
      <c r="E185" t="s">
        <v>99</v>
      </c>
      <c r="F185" t="s">
        <v>25</v>
      </c>
      <c r="G185" t="s">
        <v>26</v>
      </c>
      <c r="H185">
        <v>28</v>
      </c>
      <c r="I185">
        <v>45.97</v>
      </c>
      <c r="J185">
        <v>43.02</v>
      </c>
      <c r="K185">
        <v>93.6</v>
      </c>
      <c r="L185">
        <v>-11.19</v>
      </c>
      <c r="M185">
        <v>-24.35</v>
      </c>
      <c r="N185">
        <v>7.0000000000000007E-2</v>
      </c>
      <c r="O185">
        <v>28.3</v>
      </c>
      <c r="P185">
        <v>0.12</v>
      </c>
      <c r="Q185">
        <v>76.83</v>
      </c>
      <c r="R185">
        <v>90.92</v>
      </c>
      <c r="S185">
        <v>5200</v>
      </c>
      <c r="T185">
        <v>473200</v>
      </c>
    </row>
    <row r="186" spans="1:20" x14ac:dyDescent="0.25">
      <c r="A186" t="s">
        <v>46</v>
      </c>
      <c r="B186" t="s">
        <v>47</v>
      </c>
      <c r="C186" t="s">
        <v>48</v>
      </c>
      <c r="D186" t="s">
        <v>98</v>
      </c>
      <c r="E186" t="s">
        <v>99</v>
      </c>
      <c r="F186" t="s">
        <v>25</v>
      </c>
      <c r="G186" t="s">
        <v>26</v>
      </c>
      <c r="H186">
        <v>28</v>
      </c>
      <c r="I186">
        <v>145.66</v>
      </c>
      <c r="J186">
        <v>42.55</v>
      </c>
      <c r="K186">
        <v>29.21</v>
      </c>
      <c r="L186">
        <v>11.46</v>
      </c>
      <c r="M186">
        <v>7.87</v>
      </c>
      <c r="N186">
        <v>0.23</v>
      </c>
      <c r="O186">
        <v>59.7</v>
      </c>
      <c r="P186">
        <v>0</v>
      </c>
      <c r="Q186">
        <v>78.97</v>
      </c>
      <c r="R186">
        <v>89.92</v>
      </c>
      <c r="S186">
        <v>5200</v>
      </c>
      <c r="T186">
        <v>473200</v>
      </c>
    </row>
    <row r="187" spans="1:20" x14ac:dyDescent="0.25">
      <c r="A187" t="s">
        <v>49</v>
      </c>
      <c r="B187" t="s">
        <v>50</v>
      </c>
      <c r="C187" t="s">
        <v>48</v>
      </c>
      <c r="D187" t="s">
        <v>98</v>
      </c>
      <c r="E187" t="s">
        <v>99</v>
      </c>
      <c r="F187" t="s">
        <v>25</v>
      </c>
      <c r="G187" t="s">
        <v>26</v>
      </c>
      <c r="H187">
        <v>28</v>
      </c>
      <c r="I187">
        <v>143.94999999999999</v>
      </c>
      <c r="J187">
        <v>49.33</v>
      </c>
      <c r="K187">
        <v>34.270000000000003</v>
      </c>
      <c r="L187">
        <v>2.98</v>
      </c>
      <c r="M187">
        <v>2.0699999999999998</v>
      </c>
      <c r="N187">
        <v>0.24</v>
      </c>
      <c r="O187">
        <v>13.7</v>
      </c>
      <c r="P187">
        <v>1.07</v>
      </c>
      <c r="Q187">
        <v>86.82</v>
      </c>
      <c r="R187">
        <v>104.25</v>
      </c>
      <c r="S187">
        <v>5200</v>
      </c>
      <c r="T187">
        <v>473200</v>
      </c>
    </row>
    <row r="188" spans="1:20" x14ac:dyDescent="0.25">
      <c r="A188" t="s">
        <v>51</v>
      </c>
      <c r="B188" t="s">
        <v>52</v>
      </c>
      <c r="C188" t="s">
        <v>48</v>
      </c>
      <c r="D188" t="s">
        <v>98</v>
      </c>
      <c r="E188" t="s">
        <v>99</v>
      </c>
      <c r="F188" t="s">
        <v>25</v>
      </c>
      <c r="G188" t="s">
        <v>26</v>
      </c>
      <c r="H188">
        <v>28</v>
      </c>
      <c r="I188">
        <v>144.72</v>
      </c>
      <c r="J188">
        <v>38.54</v>
      </c>
      <c r="K188">
        <v>26.63</v>
      </c>
      <c r="L188">
        <v>-1.42</v>
      </c>
      <c r="M188">
        <v>-0.98</v>
      </c>
      <c r="N188">
        <v>0.2</v>
      </c>
      <c r="O188">
        <v>51.2</v>
      </c>
      <c r="P188">
        <v>0</v>
      </c>
      <c r="Q188">
        <v>72.010000000000005</v>
      </c>
      <c r="R188">
        <v>81.44</v>
      </c>
      <c r="S188">
        <v>5200</v>
      </c>
      <c r="T188">
        <v>473200</v>
      </c>
    </row>
    <row r="189" spans="1:20" x14ac:dyDescent="0.25">
      <c r="A189" t="s">
        <v>53</v>
      </c>
      <c r="B189" t="s">
        <v>54</v>
      </c>
      <c r="C189" t="s">
        <v>55</v>
      </c>
      <c r="D189" t="s">
        <v>98</v>
      </c>
      <c r="E189" t="s">
        <v>99</v>
      </c>
      <c r="F189" t="s">
        <v>25</v>
      </c>
      <c r="G189" t="s">
        <v>26</v>
      </c>
      <c r="H189">
        <v>28</v>
      </c>
      <c r="I189">
        <v>190.05</v>
      </c>
      <c r="J189">
        <v>62.29</v>
      </c>
      <c r="K189">
        <v>32.770000000000003</v>
      </c>
      <c r="L189">
        <v>7.1</v>
      </c>
      <c r="M189">
        <v>3.73</v>
      </c>
      <c r="N189">
        <v>0.3</v>
      </c>
      <c r="O189">
        <v>48.7</v>
      </c>
      <c r="P189">
        <v>14.03</v>
      </c>
      <c r="Q189">
        <v>109.53</v>
      </c>
      <c r="R189">
        <v>131.63</v>
      </c>
      <c r="S189">
        <v>5200</v>
      </c>
      <c r="T189">
        <v>473200</v>
      </c>
    </row>
    <row r="190" spans="1:20" x14ac:dyDescent="0.25">
      <c r="A190" t="s">
        <v>56</v>
      </c>
      <c r="B190" t="s">
        <v>57</v>
      </c>
      <c r="C190" t="s">
        <v>55</v>
      </c>
      <c r="D190" t="s">
        <v>98</v>
      </c>
      <c r="E190" t="s">
        <v>99</v>
      </c>
      <c r="F190" t="s">
        <v>25</v>
      </c>
      <c r="G190" t="s">
        <v>26</v>
      </c>
      <c r="H190">
        <v>28</v>
      </c>
      <c r="I190">
        <v>169.11</v>
      </c>
      <c r="J190">
        <v>44.71</v>
      </c>
      <c r="K190">
        <v>26.44</v>
      </c>
      <c r="L190">
        <v>5.37</v>
      </c>
      <c r="M190">
        <v>3.18</v>
      </c>
      <c r="N190">
        <v>0.26</v>
      </c>
      <c r="O190">
        <v>29.7</v>
      </c>
      <c r="P190">
        <v>0.66</v>
      </c>
      <c r="Q190">
        <v>80.69</v>
      </c>
      <c r="R190">
        <v>94.49</v>
      </c>
      <c r="S190">
        <v>5200</v>
      </c>
      <c r="T190">
        <v>473200</v>
      </c>
    </row>
    <row r="191" spans="1:20" x14ac:dyDescent="0.25">
      <c r="A191" t="s">
        <v>58</v>
      </c>
      <c r="B191" t="s">
        <v>59</v>
      </c>
      <c r="C191" t="s">
        <v>55</v>
      </c>
      <c r="D191" t="s">
        <v>98</v>
      </c>
      <c r="E191" t="s">
        <v>99</v>
      </c>
      <c r="F191" t="s">
        <v>25</v>
      </c>
      <c r="G191" t="s">
        <v>26</v>
      </c>
      <c r="H191">
        <v>28</v>
      </c>
      <c r="I191">
        <v>183.48</v>
      </c>
      <c r="J191">
        <v>49.95</v>
      </c>
      <c r="K191">
        <v>27.22</v>
      </c>
      <c r="L191">
        <v>6.59</v>
      </c>
      <c r="M191">
        <v>3.59</v>
      </c>
      <c r="N191">
        <v>0.3</v>
      </c>
      <c r="O191">
        <v>32.6</v>
      </c>
      <c r="P191">
        <v>2.82</v>
      </c>
      <c r="Q191">
        <v>93.25</v>
      </c>
      <c r="R191">
        <v>105.56</v>
      </c>
      <c r="S191">
        <v>5200</v>
      </c>
      <c r="T191">
        <v>473200</v>
      </c>
    </row>
    <row r="192" spans="1:20" x14ac:dyDescent="0.25">
      <c r="A192" t="s">
        <v>60</v>
      </c>
      <c r="B192" t="s">
        <v>61</v>
      </c>
      <c r="C192" t="s">
        <v>62</v>
      </c>
      <c r="D192" t="s">
        <v>98</v>
      </c>
      <c r="E192" t="s">
        <v>99</v>
      </c>
      <c r="F192" t="s">
        <v>25</v>
      </c>
      <c r="G192" t="s">
        <v>26</v>
      </c>
      <c r="H192">
        <v>28</v>
      </c>
      <c r="I192">
        <v>186.81</v>
      </c>
      <c r="J192">
        <v>45.96</v>
      </c>
      <c r="K192">
        <v>24.6</v>
      </c>
      <c r="L192">
        <v>18.04</v>
      </c>
      <c r="M192">
        <v>9.66</v>
      </c>
      <c r="N192">
        <v>0.28999999999999998</v>
      </c>
      <c r="O192">
        <v>18.600000000000001</v>
      </c>
      <c r="P192">
        <v>0.68</v>
      </c>
      <c r="Q192">
        <v>84.29</v>
      </c>
      <c r="R192">
        <v>97.13</v>
      </c>
      <c r="S192">
        <v>5200</v>
      </c>
      <c r="T192">
        <v>473200</v>
      </c>
    </row>
    <row r="193" spans="1:20" x14ac:dyDescent="0.25">
      <c r="A193" t="s">
        <v>63</v>
      </c>
      <c r="B193" t="s">
        <v>64</v>
      </c>
      <c r="C193" t="s">
        <v>62</v>
      </c>
      <c r="D193" t="s">
        <v>98</v>
      </c>
      <c r="E193" t="s">
        <v>99</v>
      </c>
      <c r="F193" t="s">
        <v>25</v>
      </c>
      <c r="G193" t="s">
        <v>26</v>
      </c>
      <c r="H193">
        <v>28</v>
      </c>
      <c r="I193">
        <v>168.67</v>
      </c>
      <c r="J193">
        <v>48.25</v>
      </c>
      <c r="K193">
        <v>28.61</v>
      </c>
      <c r="L193">
        <v>13.02</v>
      </c>
      <c r="M193">
        <v>7.72</v>
      </c>
      <c r="N193">
        <v>0.26</v>
      </c>
      <c r="O193">
        <v>36.9</v>
      </c>
      <c r="P193">
        <v>2.37</v>
      </c>
      <c r="Q193">
        <v>88.18</v>
      </c>
      <c r="R193">
        <v>101.97</v>
      </c>
      <c r="S193">
        <v>5200</v>
      </c>
      <c r="T193">
        <v>473200</v>
      </c>
    </row>
    <row r="194" spans="1:20" x14ac:dyDescent="0.25">
      <c r="A194" t="s">
        <v>65</v>
      </c>
      <c r="B194" t="s">
        <v>66</v>
      </c>
      <c r="C194" t="s">
        <v>62</v>
      </c>
      <c r="D194" t="s">
        <v>98</v>
      </c>
      <c r="E194" t="s">
        <v>99</v>
      </c>
      <c r="F194" t="s">
        <v>25</v>
      </c>
      <c r="G194" t="s">
        <v>26</v>
      </c>
      <c r="H194">
        <v>28</v>
      </c>
      <c r="I194">
        <v>185.81</v>
      </c>
      <c r="J194">
        <v>46.15</v>
      </c>
      <c r="K194">
        <v>24.84</v>
      </c>
      <c r="L194">
        <v>16.05</v>
      </c>
      <c r="M194">
        <v>8.64</v>
      </c>
      <c r="N194">
        <v>0.28000000000000003</v>
      </c>
      <c r="O194">
        <v>56.8</v>
      </c>
      <c r="P194">
        <v>2.19</v>
      </c>
      <c r="Q194">
        <v>85.16</v>
      </c>
      <c r="R194">
        <v>97.52</v>
      </c>
      <c r="S194">
        <v>5200</v>
      </c>
      <c r="T194">
        <v>473200</v>
      </c>
    </row>
    <row r="195" spans="1:20" x14ac:dyDescent="0.25">
      <c r="A195" t="s">
        <v>67</v>
      </c>
      <c r="B195" t="s">
        <v>68</v>
      </c>
      <c r="C195" t="s">
        <v>69</v>
      </c>
      <c r="D195" t="s">
        <v>98</v>
      </c>
      <c r="E195" t="s">
        <v>99</v>
      </c>
      <c r="F195" t="s">
        <v>25</v>
      </c>
      <c r="G195" t="s">
        <v>26</v>
      </c>
      <c r="H195">
        <v>28</v>
      </c>
      <c r="I195">
        <v>182.95</v>
      </c>
      <c r="J195">
        <v>42.57</v>
      </c>
      <c r="K195">
        <v>23.27</v>
      </c>
      <c r="L195">
        <v>12.93</v>
      </c>
      <c r="M195">
        <v>7.07</v>
      </c>
      <c r="N195">
        <v>0.27</v>
      </c>
      <c r="O195">
        <v>18.899999999999999</v>
      </c>
      <c r="P195">
        <v>0</v>
      </c>
      <c r="Q195">
        <v>78.33</v>
      </c>
      <c r="R195">
        <v>89.96</v>
      </c>
      <c r="S195">
        <v>5200</v>
      </c>
      <c r="T195">
        <v>473200</v>
      </c>
    </row>
    <row r="196" spans="1:20" x14ac:dyDescent="0.25">
      <c r="A196" t="s">
        <v>70</v>
      </c>
      <c r="B196" t="s">
        <v>71</v>
      </c>
      <c r="C196" t="s">
        <v>69</v>
      </c>
      <c r="D196" t="s">
        <v>98</v>
      </c>
      <c r="E196" t="s">
        <v>99</v>
      </c>
      <c r="F196" t="s">
        <v>25</v>
      </c>
      <c r="G196" t="s">
        <v>26</v>
      </c>
      <c r="H196">
        <v>28</v>
      </c>
      <c r="I196">
        <v>169.06</v>
      </c>
      <c r="J196">
        <v>46.86</v>
      </c>
      <c r="K196">
        <v>27.72</v>
      </c>
      <c r="L196">
        <v>22.04</v>
      </c>
      <c r="M196">
        <v>13.03</v>
      </c>
      <c r="N196">
        <v>0.27</v>
      </c>
      <c r="O196">
        <v>56.1</v>
      </c>
      <c r="P196">
        <v>2.63</v>
      </c>
      <c r="Q196">
        <v>84.61</v>
      </c>
      <c r="R196">
        <v>99.02</v>
      </c>
      <c r="S196">
        <v>5200</v>
      </c>
      <c r="T196">
        <v>473200</v>
      </c>
    </row>
    <row r="197" spans="1:20" x14ac:dyDescent="0.25">
      <c r="A197" t="s">
        <v>72</v>
      </c>
      <c r="B197" t="s">
        <v>73</v>
      </c>
      <c r="C197" t="s">
        <v>69</v>
      </c>
      <c r="D197" t="s">
        <v>98</v>
      </c>
      <c r="E197" t="s">
        <v>99</v>
      </c>
      <c r="F197" t="s">
        <v>25</v>
      </c>
      <c r="G197" t="s">
        <v>26</v>
      </c>
      <c r="H197">
        <v>28</v>
      </c>
      <c r="I197">
        <v>184.91</v>
      </c>
      <c r="J197">
        <v>48.16</v>
      </c>
      <c r="K197">
        <v>26.05</v>
      </c>
      <c r="L197">
        <v>10.23</v>
      </c>
      <c r="M197">
        <v>5.53</v>
      </c>
      <c r="N197">
        <v>0.28000000000000003</v>
      </c>
      <c r="O197">
        <v>63.2</v>
      </c>
      <c r="P197">
        <v>3.98</v>
      </c>
      <c r="Q197">
        <v>84.06</v>
      </c>
      <c r="R197">
        <v>101.78</v>
      </c>
      <c r="S197">
        <v>5200</v>
      </c>
      <c r="T197">
        <v>473200</v>
      </c>
    </row>
    <row r="198" spans="1:20" x14ac:dyDescent="0.25">
      <c r="A198" t="s">
        <v>74</v>
      </c>
      <c r="B198" t="s">
        <v>75</v>
      </c>
      <c r="C198" t="s">
        <v>69</v>
      </c>
      <c r="D198" t="s">
        <v>98</v>
      </c>
      <c r="E198" t="s">
        <v>99</v>
      </c>
      <c r="F198" t="s">
        <v>25</v>
      </c>
      <c r="G198" t="s">
        <v>26</v>
      </c>
      <c r="H198">
        <v>28</v>
      </c>
      <c r="I198">
        <v>171.57</v>
      </c>
      <c r="J198">
        <v>44.47</v>
      </c>
      <c r="K198">
        <v>25.92</v>
      </c>
      <c r="L198">
        <v>7.72</v>
      </c>
      <c r="M198">
        <v>4.5</v>
      </c>
      <c r="N198">
        <v>0.26</v>
      </c>
      <c r="O198">
        <v>33.200000000000003</v>
      </c>
      <c r="P198">
        <v>0.65</v>
      </c>
      <c r="Q198">
        <v>80.400000000000006</v>
      </c>
      <c r="R198">
        <v>93.98</v>
      </c>
      <c r="S198">
        <v>5200</v>
      </c>
      <c r="T198">
        <v>473200</v>
      </c>
    </row>
    <row r="199" spans="1:20" x14ac:dyDescent="0.25">
      <c r="A199" t="s">
        <v>76</v>
      </c>
      <c r="B199" t="s">
        <v>77</v>
      </c>
      <c r="C199" t="s">
        <v>69</v>
      </c>
      <c r="D199" t="s">
        <v>98</v>
      </c>
      <c r="E199" t="s">
        <v>99</v>
      </c>
      <c r="F199" t="s">
        <v>25</v>
      </c>
      <c r="G199" t="s">
        <v>26</v>
      </c>
      <c r="H199">
        <v>28</v>
      </c>
      <c r="I199">
        <v>167.52</v>
      </c>
      <c r="J199">
        <v>53.24</v>
      </c>
      <c r="K199">
        <v>31.78</v>
      </c>
      <c r="L199">
        <v>13.85</v>
      </c>
      <c r="M199">
        <v>8.27</v>
      </c>
      <c r="N199">
        <v>0.25</v>
      </c>
      <c r="O199">
        <v>13.8</v>
      </c>
      <c r="P199">
        <v>1.84</v>
      </c>
      <c r="Q199">
        <v>94.78</v>
      </c>
      <c r="R199">
        <v>112.52</v>
      </c>
      <c r="S199">
        <v>5200</v>
      </c>
      <c r="T199">
        <v>473200</v>
      </c>
    </row>
    <row r="200" spans="1:20" x14ac:dyDescent="0.25">
      <c r="A200" t="s">
        <v>78</v>
      </c>
      <c r="B200" t="s">
        <v>79</v>
      </c>
      <c r="C200" t="s">
        <v>80</v>
      </c>
      <c r="D200" t="s">
        <v>98</v>
      </c>
      <c r="E200" t="s">
        <v>99</v>
      </c>
      <c r="F200" t="s">
        <v>25</v>
      </c>
      <c r="G200" t="s">
        <v>26</v>
      </c>
      <c r="H200">
        <v>28</v>
      </c>
      <c r="I200">
        <v>172.25</v>
      </c>
      <c r="J200">
        <v>48.05</v>
      </c>
      <c r="K200">
        <v>27.89</v>
      </c>
      <c r="L200">
        <v>8.7100000000000009</v>
      </c>
      <c r="M200">
        <v>5.05</v>
      </c>
      <c r="N200">
        <v>0.24</v>
      </c>
      <c r="O200">
        <v>38.700000000000003</v>
      </c>
      <c r="P200">
        <v>2.38</v>
      </c>
      <c r="Q200">
        <v>85.13</v>
      </c>
      <c r="R200">
        <v>101.54</v>
      </c>
      <c r="S200">
        <v>5200</v>
      </c>
      <c r="T200">
        <v>473200</v>
      </c>
    </row>
    <row r="201" spans="1:20" x14ac:dyDescent="0.25">
      <c r="A201" t="s">
        <v>81</v>
      </c>
      <c r="B201" t="s">
        <v>82</v>
      </c>
      <c r="C201" t="s">
        <v>80</v>
      </c>
      <c r="D201" t="s">
        <v>98</v>
      </c>
      <c r="E201" t="s">
        <v>99</v>
      </c>
      <c r="F201" t="s">
        <v>25</v>
      </c>
      <c r="G201" t="s">
        <v>26</v>
      </c>
      <c r="H201">
        <v>28</v>
      </c>
      <c r="I201">
        <v>187.81</v>
      </c>
      <c r="J201">
        <v>56.99</v>
      </c>
      <c r="K201">
        <v>30.34</v>
      </c>
      <c r="L201">
        <v>22.63</v>
      </c>
      <c r="M201">
        <v>12.05</v>
      </c>
      <c r="N201">
        <v>0.31</v>
      </c>
      <c r="O201">
        <v>47.8</v>
      </c>
      <c r="P201">
        <v>9.2100000000000009</v>
      </c>
      <c r="Q201">
        <v>101.77</v>
      </c>
      <c r="R201">
        <v>120.43</v>
      </c>
      <c r="S201">
        <v>5200</v>
      </c>
      <c r="T201">
        <v>473200</v>
      </c>
    </row>
    <row r="202" spans="1:20" x14ac:dyDescent="0.25">
      <c r="A202" t="s">
        <v>83</v>
      </c>
      <c r="B202" t="s">
        <v>84</v>
      </c>
      <c r="C202" t="s">
        <v>80</v>
      </c>
      <c r="D202" t="s">
        <v>98</v>
      </c>
      <c r="E202" t="s">
        <v>99</v>
      </c>
      <c r="F202" t="s">
        <v>25</v>
      </c>
      <c r="G202" t="s">
        <v>26</v>
      </c>
      <c r="H202">
        <v>28</v>
      </c>
      <c r="I202">
        <v>188</v>
      </c>
      <c r="J202">
        <v>53.1</v>
      </c>
      <c r="K202">
        <v>28.25</v>
      </c>
      <c r="L202">
        <v>25.39</v>
      </c>
      <c r="M202">
        <v>13.51</v>
      </c>
      <c r="N202">
        <v>0.31</v>
      </c>
      <c r="O202">
        <v>46.5</v>
      </c>
      <c r="P202">
        <v>6.1</v>
      </c>
      <c r="Q202">
        <v>93.24</v>
      </c>
      <c r="R202">
        <v>112.22</v>
      </c>
      <c r="S202">
        <v>5200</v>
      </c>
      <c r="T202">
        <v>473200</v>
      </c>
    </row>
    <row r="203" spans="1:20" x14ac:dyDescent="0.25">
      <c r="A203" t="s">
        <v>85</v>
      </c>
      <c r="B203" t="s">
        <v>86</v>
      </c>
      <c r="C203" t="s">
        <v>80</v>
      </c>
      <c r="D203" t="s">
        <v>98</v>
      </c>
      <c r="E203" t="s">
        <v>99</v>
      </c>
      <c r="F203" t="s">
        <v>25</v>
      </c>
      <c r="G203" t="s">
        <v>26</v>
      </c>
      <c r="H203">
        <v>28</v>
      </c>
      <c r="I203">
        <v>173.2</v>
      </c>
      <c r="J203">
        <v>52.84</v>
      </c>
      <c r="K203">
        <v>30.51</v>
      </c>
      <c r="L203">
        <v>8.51</v>
      </c>
      <c r="M203">
        <v>4.91</v>
      </c>
      <c r="N203">
        <v>0.25</v>
      </c>
      <c r="O203">
        <v>47.9</v>
      </c>
      <c r="P203">
        <v>6.09</v>
      </c>
      <c r="Q203">
        <v>99.34</v>
      </c>
      <c r="R203">
        <v>111.67</v>
      </c>
      <c r="S203">
        <v>5200</v>
      </c>
      <c r="T203">
        <v>473200</v>
      </c>
    </row>
    <row r="204" spans="1:20" x14ac:dyDescent="0.25">
      <c r="A204" t="s">
        <v>87</v>
      </c>
      <c r="B204" t="s">
        <v>88</v>
      </c>
      <c r="C204" t="s">
        <v>89</v>
      </c>
      <c r="D204" t="s">
        <v>98</v>
      </c>
      <c r="E204" t="s">
        <v>99</v>
      </c>
      <c r="F204" t="s">
        <v>25</v>
      </c>
      <c r="G204" t="s">
        <v>26</v>
      </c>
      <c r="H204">
        <v>28</v>
      </c>
      <c r="I204">
        <v>88.74</v>
      </c>
      <c r="J204">
        <v>69.47</v>
      </c>
      <c r="K204">
        <v>78.28</v>
      </c>
      <c r="L204">
        <v>-7.7</v>
      </c>
      <c r="M204">
        <v>-8.67</v>
      </c>
      <c r="N204">
        <v>0.13</v>
      </c>
      <c r="O204">
        <v>12.5</v>
      </c>
      <c r="P204">
        <v>5.48</v>
      </c>
      <c r="Q204">
        <v>130.88</v>
      </c>
      <c r="R204">
        <v>146.80000000000001</v>
      </c>
      <c r="S204">
        <v>5200</v>
      </c>
      <c r="T204">
        <v>473200</v>
      </c>
    </row>
    <row r="205" spans="1:20" x14ac:dyDescent="0.25">
      <c r="A205" t="s">
        <v>20</v>
      </c>
      <c r="B205" t="s">
        <v>21</v>
      </c>
      <c r="C205" t="s">
        <v>22</v>
      </c>
      <c r="D205" t="s">
        <v>100</v>
      </c>
      <c r="E205" t="s">
        <v>101</v>
      </c>
      <c r="F205" t="s">
        <v>25</v>
      </c>
      <c r="G205" t="s">
        <v>26</v>
      </c>
      <c r="H205">
        <v>35</v>
      </c>
      <c r="I205">
        <v>200.6</v>
      </c>
      <c r="J205">
        <v>40.72</v>
      </c>
      <c r="K205">
        <v>20.3</v>
      </c>
      <c r="L205">
        <v>22.13</v>
      </c>
      <c r="M205">
        <v>11.03</v>
      </c>
      <c r="N205">
        <v>0.33</v>
      </c>
      <c r="O205">
        <v>11.3</v>
      </c>
      <c r="P205">
        <v>0</v>
      </c>
      <c r="Q205">
        <v>63</v>
      </c>
      <c r="R205">
        <v>74.58</v>
      </c>
      <c r="S205">
        <v>6000</v>
      </c>
      <c r="T205">
        <v>546000</v>
      </c>
    </row>
    <row r="206" spans="1:20" x14ac:dyDescent="0.25">
      <c r="A206" t="s">
        <v>27</v>
      </c>
      <c r="B206" t="s">
        <v>28</v>
      </c>
      <c r="C206" t="s">
        <v>22</v>
      </c>
      <c r="D206" t="s">
        <v>100</v>
      </c>
      <c r="E206" t="s">
        <v>101</v>
      </c>
      <c r="F206" t="s">
        <v>25</v>
      </c>
      <c r="G206" t="s">
        <v>26</v>
      </c>
      <c r="H206">
        <v>35</v>
      </c>
      <c r="I206">
        <v>209.18</v>
      </c>
      <c r="J206">
        <v>40.04</v>
      </c>
      <c r="K206">
        <v>19.14</v>
      </c>
      <c r="L206">
        <v>26.79</v>
      </c>
      <c r="M206">
        <v>12.81</v>
      </c>
      <c r="N206">
        <v>0.36</v>
      </c>
      <c r="O206">
        <v>34.1</v>
      </c>
      <c r="P206">
        <v>0</v>
      </c>
      <c r="Q206">
        <v>64.790000000000006</v>
      </c>
      <c r="R206">
        <v>73.34</v>
      </c>
      <c r="S206">
        <v>6000</v>
      </c>
      <c r="T206">
        <v>546000</v>
      </c>
    </row>
    <row r="207" spans="1:20" x14ac:dyDescent="0.25">
      <c r="A207" t="s">
        <v>29</v>
      </c>
      <c r="B207" t="s">
        <v>30</v>
      </c>
      <c r="C207" t="s">
        <v>22</v>
      </c>
      <c r="D207" t="s">
        <v>100</v>
      </c>
      <c r="E207" t="s">
        <v>101</v>
      </c>
      <c r="F207" t="s">
        <v>25</v>
      </c>
      <c r="G207" t="s">
        <v>26</v>
      </c>
      <c r="H207">
        <v>35</v>
      </c>
      <c r="I207">
        <v>209.63</v>
      </c>
      <c r="J207">
        <v>38.83</v>
      </c>
      <c r="K207">
        <v>18.52</v>
      </c>
      <c r="L207">
        <v>23.74</v>
      </c>
      <c r="M207">
        <v>11.33</v>
      </c>
      <c r="N207">
        <v>0.32</v>
      </c>
      <c r="O207">
        <v>18.3</v>
      </c>
      <c r="P207">
        <v>0</v>
      </c>
      <c r="Q207">
        <v>60.46</v>
      </c>
      <c r="R207">
        <v>71.11</v>
      </c>
      <c r="S207">
        <v>6000</v>
      </c>
      <c r="T207">
        <v>546000</v>
      </c>
    </row>
    <row r="208" spans="1:20" x14ac:dyDescent="0.25">
      <c r="A208" t="s">
        <v>31</v>
      </c>
      <c r="B208" t="s">
        <v>32</v>
      </c>
      <c r="C208" t="s">
        <v>22</v>
      </c>
      <c r="D208" t="s">
        <v>100</v>
      </c>
      <c r="E208" t="s">
        <v>101</v>
      </c>
      <c r="F208" t="s">
        <v>25</v>
      </c>
      <c r="G208" t="s">
        <v>26</v>
      </c>
      <c r="H208">
        <v>35</v>
      </c>
      <c r="I208">
        <v>214.23</v>
      </c>
      <c r="J208">
        <v>42.03</v>
      </c>
      <c r="K208">
        <v>19.62</v>
      </c>
      <c r="L208">
        <v>29.14</v>
      </c>
      <c r="M208">
        <v>13.6</v>
      </c>
      <c r="N208">
        <v>0.36</v>
      </c>
      <c r="O208">
        <v>36.4</v>
      </c>
      <c r="P208">
        <v>0</v>
      </c>
      <c r="Q208">
        <v>65.66</v>
      </c>
      <c r="R208">
        <v>76.97</v>
      </c>
      <c r="S208">
        <v>6000</v>
      </c>
      <c r="T208">
        <v>546000</v>
      </c>
    </row>
    <row r="209" spans="1:20" x14ac:dyDescent="0.25">
      <c r="A209" t="s">
        <v>33</v>
      </c>
      <c r="B209" t="s">
        <v>34</v>
      </c>
      <c r="C209" t="s">
        <v>22</v>
      </c>
      <c r="D209" t="s">
        <v>100</v>
      </c>
      <c r="E209" t="s">
        <v>101</v>
      </c>
      <c r="F209" t="s">
        <v>25</v>
      </c>
      <c r="G209" t="s">
        <v>26</v>
      </c>
      <c r="H209">
        <v>35</v>
      </c>
      <c r="I209">
        <v>190.02</v>
      </c>
      <c r="J209">
        <v>41.16</v>
      </c>
      <c r="K209">
        <v>21.66</v>
      </c>
      <c r="L209">
        <v>20.38</v>
      </c>
      <c r="M209">
        <v>10.72</v>
      </c>
      <c r="N209">
        <v>0.3</v>
      </c>
      <c r="O209">
        <v>8.3000000000000007</v>
      </c>
      <c r="P209">
        <v>0</v>
      </c>
      <c r="Q209">
        <v>66.66</v>
      </c>
      <c r="R209">
        <v>75.38</v>
      </c>
      <c r="S209">
        <v>6000</v>
      </c>
      <c r="T209">
        <v>546000</v>
      </c>
    </row>
    <row r="210" spans="1:20" x14ac:dyDescent="0.25">
      <c r="A210" t="s">
        <v>35</v>
      </c>
      <c r="B210" t="s">
        <v>36</v>
      </c>
      <c r="C210" t="s">
        <v>37</v>
      </c>
      <c r="D210" t="s">
        <v>100</v>
      </c>
      <c r="E210" t="s">
        <v>101</v>
      </c>
      <c r="F210" t="s">
        <v>25</v>
      </c>
      <c r="G210" t="s">
        <v>26</v>
      </c>
      <c r="H210">
        <v>35</v>
      </c>
      <c r="I210">
        <v>42.19</v>
      </c>
      <c r="J210">
        <v>12.93</v>
      </c>
      <c r="K210">
        <v>30.66</v>
      </c>
      <c r="L210">
        <v>-11.97</v>
      </c>
      <c r="M210">
        <v>-28.38</v>
      </c>
      <c r="N210">
        <v>7.0000000000000007E-2</v>
      </c>
      <c r="O210">
        <v>22.7</v>
      </c>
      <c r="P210">
        <v>0</v>
      </c>
      <c r="Q210">
        <v>20.57</v>
      </c>
      <c r="R210">
        <v>23.69</v>
      </c>
      <c r="S210">
        <v>6000</v>
      </c>
      <c r="T210">
        <v>546000</v>
      </c>
    </row>
    <row r="211" spans="1:20" x14ac:dyDescent="0.25">
      <c r="A211" t="s">
        <v>38</v>
      </c>
      <c r="B211" t="s">
        <v>39</v>
      </c>
      <c r="C211" t="s">
        <v>37</v>
      </c>
      <c r="D211" t="s">
        <v>100</v>
      </c>
      <c r="E211" t="s">
        <v>101</v>
      </c>
      <c r="F211" t="s">
        <v>25</v>
      </c>
      <c r="G211" t="s">
        <v>26</v>
      </c>
      <c r="H211">
        <v>35</v>
      </c>
      <c r="I211">
        <v>59.07</v>
      </c>
      <c r="J211">
        <v>27.53</v>
      </c>
      <c r="K211">
        <v>46.61</v>
      </c>
      <c r="L211">
        <v>-14.57</v>
      </c>
      <c r="M211">
        <v>-24.66</v>
      </c>
      <c r="N211">
        <v>0.11</v>
      </c>
      <c r="O211">
        <v>28.9</v>
      </c>
      <c r="P211">
        <v>0</v>
      </c>
      <c r="Q211">
        <v>44.05</v>
      </c>
      <c r="R211">
        <v>50.43</v>
      </c>
      <c r="S211">
        <v>6000</v>
      </c>
      <c r="T211">
        <v>546000</v>
      </c>
    </row>
    <row r="212" spans="1:20" x14ac:dyDescent="0.25">
      <c r="A212" t="s">
        <v>40</v>
      </c>
      <c r="B212" t="s">
        <v>41</v>
      </c>
      <c r="C212" t="s">
        <v>37</v>
      </c>
      <c r="D212" t="s">
        <v>100</v>
      </c>
      <c r="E212" t="s">
        <v>101</v>
      </c>
      <c r="F212" t="s">
        <v>25</v>
      </c>
      <c r="G212" t="s">
        <v>26</v>
      </c>
      <c r="H212">
        <v>35</v>
      </c>
      <c r="I212">
        <v>58.71</v>
      </c>
      <c r="J212">
        <v>24.93</v>
      </c>
      <c r="K212">
        <v>42.46</v>
      </c>
      <c r="L212">
        <v>-13.43</v>
      </c>
      <c r="M212">
        <v>-22.87</v>
      </c>
      <c r="N212">
        <v>0.11</v>
      </c>
      <c r="O212">
        <v>32</v>
      </c>
      <c r="P212">
        <v>0</v>
      </c>
      <c r="Q212">
        <v>39.950000000000003</v>
      </c>
      <c r="R212">
        <v>45.66</v>
      </c>
      <c r="S212">
        <v>6000</v>
      </c>
      <c r="T212">
        <v>546000</v>
      </c>
    </row>
    <row r="213" spans="1:20" x14ac:dyDescent="0.25">
      <c r="A213" t="s">
        <v>42</v>
      </c>
      <c r="B213" t="s">
        <v>43</v>
      </c>
      <c r="C213" t="s">
        <v>37</v>
      </c>
      <c r="D213" t="s">
        <v>100</v>
      </c>
      <c r="E213" t="s">
        <v>101</v>
      </c>
      <c r="F213" t="s">
        <v>25</v>
      </c>
      <c r="G213" t="s">
        <v>26</v>
      </c>
      <c r="H213">
        <v>35</v>
      </c>
      <c r="I213">
        <v>44.21</v>
      </c>
      <c r="J213">
        <v>46.83</v>
      </c>
      <c r="K213">
        <v>105.92</v>
      </c>
      <c r="L213">
        <v>-9.9499999999999993</v>
      </c>
      <c r="M213">
        <v>-22.5</v>
      </c>
      <c r="N213">
        <v>7.0000000000000007E-2</v>
      </c>
      <c r="O213">
        <v>51.8</v>
      </c>
      <c r="P213">
        <v>0</v>
      </c>
      <c r="Q213">
        <v>75.489999999999995</v>
      </c>
      <c r="R213">
        <v>85.77</v>
      </c>
      <c r="S213">
        <v>6000</v>
      </c>
      <c r="T213">
        <v>546000</v>
      </c>
    </row>
    <row r="214" spans="1:20" x14ac:dyDescent="0.25">
      <c r="A214" t="s">
        <v>44</v>
      </c>
      <c r="B214" t="s">
        <v>45</v>
      </c>
      <c r="C214" t="s">
        <v>37</v>
      </c>
      <c r="D214" t="s">
        <v>100</v>
      </c>
      <c r="E214" t="s">
        <v>101</v>
      </c>
      <c r="F214" t="s">
        <v>25</v>
      </c>
      <c r="G214" t="s">
        <v>26</v>
      </c>
      <c r="H214">
        <v>35</v>
      </c>
      <c r="I214">
        <v>66.349999999999994</v>
      </c>
      <c r="J214">
        <v>49.64</v>
      </c>
      <c r="K214">
        <v>74.819999999999993</v>
      </c>
      <c r="L214">
        <v>-17.59</v>
      </c>
      <c r="M214">
        <v>-26.51</v>
      </c>
      <c r="N214">
        <v>0.12</v>
      </c>
      <c r="O214">
        <v>3.3</v>
      </c>
      <c r="P214">
        <v>0.02</v>
      </c>
      <c r="Q214">
        <v>76.83</v>
      </c>
      <c r="R214">
        <v>90.92</v>
      </c>
      <c r="S214">
        <v>6000</v>
      </c>
      <c r="T214">
        <v>546000</v>
      </c>
    </row>
    <row r="215" spans="1:20" x14ac:dyDescent="0.25">
      <c r="A215" t="s">
        <v>46</v>
      </c>
      <c r="B215" t="s">
        <v>47</v>
      </c>
      <c r="C215" t="s">
        <v>48</v>
      </c>
      <c r="D215" t="s">
        <v>100</v>
      </c>
      <c r="E215" t="s">
        <v>101</v>
      </c>
      <c r="F215" t="s">
        <v>25</v>
      </c>
      <c r="G215" t="s">
        <v>26</v>
      </c>
      <c r="H215">
        <v>35</v>
      </c>
      <c r="I215">
        <v>138.13999999999999</v>
      </c>
      <c r="J215">
        <v>49.1</v>
      </c>
      <c r="K215">
        <v>35.54</v>
      </c>
      <c r="L215">
        <v>5.0599999999999996</v>
      </c>
      <c r="M215">
        <v>3.67</v>
      </c>
      <c r="N215">
        <v>0.25</v>
      </c>
      <c r="O215">
        <v>4.0999999999999996</v>
      </c>
      <c r="P215">
        <v>0</v>
      </c>
      <c r="Q215">
        <v>78.97</v>
      </c>
      <c r="R215">
        <v>89.92</v>
      </c>
      <c r="S215">
        <v>6000</v>
      </c>
      <c r="T215">
        <v>546000</v>
      </c>
    </row>
    <row r="216" spans="1:20" x14ac:dyDescent="0.25">
      <c r="A216" t="s">
        <v>49</v>
      </c>
      <c r="B216" t="s">
        <v>50</v>
      </c>
      <c r="C216" t="s">
        <v>48</v>
      </c>
      <c r="D216" t="s">
        <v>100</v>
      </c>
      <c r="E216" t="s">
        <v>101</v>
      </c>
      <c r="F216" t="s">
        <v>25</v>
      </c>
      <c r="G216" t="s">
        <v>26</v>
      </c>
      <c r="H216">
        <v>35</v>
      </c>
      <c r="I216">
        <v>130.76</v>
      </c>
      <c r="J216">
        <v>56.92</v>
      </c>
      <c r="K216">
        <v>43.53</v>
      </c>
      <c r="L216">
        <v>-1.24</v>
      </c>
      <c r="M216">
        <v>-0.95</v>
      </c>
      <c r="N216">
        <v>0.23</v>
      </c>
      <c r="O216">
        <v>33.299999999999997</v>
      </c>
      <c r="P216">
        <v>3</v>
      </c>
      <c r="Q216">
        <v>86.82</v>
      </c>
      <c r="R216">
        <v>104.25</v>
      </c>
      <c r="S216">
        <v>6000</v>
      </c>
      <c r="T216">
        <v>546000</v>
      </c>
    </row>
    <row r="217" spans="1:20" x14ac:dyDescent="0.25">
      <c r="A217" t="s">
        <v>51</v>
      </c>
      <c r="B217" t="s">
        <v>52</v>
      </c>
      <c r="C217" t="s">
        <v>48</v>
      </c>
      <c r="D217" t="s">
        <v>100</v>
      </c>
      <c r="E217" t="s">
        <v>101</v>
      </c>
      <c r="F217" t="s">
        <v>25</v>
      </c>
      <c r="G217" t="s">
        <v>26</v>
      </c>
      <c r="H217">
        <v>35</v>
      </c>
      <c r="I217">
        <v>130.33000000000001</v>
      </c>
      <c r="J217">
        <v>44.47</v>
      </c>
      <c r="K217">
        <v>34.119999999999997</v>
      </c>
      <c r="L217">
        <v>-3.95</v>
      </c>
      <c r="M217">
        <v>-3.03</v>
      </c>
      <c r="N217">
        <v>0.23</v>
      </c>
      <c r="O217">
        <v>19.3</v>
      </c>
      <c r="P217">
        <v>0</v>
      </c>
      <c r="Q217">
        <v>72.010000000000005</v>
      </c>
      <c r="R217">
        <v>81.44</v>
      </c>
      <c r="S217">
        <v>6000</v>
      </c>
      <c r="T217">
        <v>546000</v>
      </c>
    </row>
    <row r="218" spans="1:20" x14ac:dyDescent="0.25">
      <c r="A218" t="s">
        <v>53</v>
      </c>
      <c r="B218" t="s">
        <v>54</v>
      </c>
      <c r="C218" t="s">
        <v>55</v>
      </c>
      <c r="D218" t="s">
        <v>100</v>
      </c>
      <c r="E218" t="s">
        <v>101</v>
      </c>
      <c r="F218" t="s">
        <v>25</v>
      </c>
      <c r="G218" t="s">
        <v>26</v>
      </c>
      <c r="H218">
        <v>35</v>
      </c>
      <c r="I218">
        <v>184.69</v>
      </c>
      <c r="J218">
        <v>71.87</v>
      </c>
      <c r="K218">
        <v>38.909999999999997</v>
      </c>
      <c r="L218">
        <v>4.45</v>
      </c>
      <c r="M218">
        <v>2.41</v>
      </c>
      <c r="N218">
        <v>0.34</v>
      </c>
      <c r="O218">
        <v>30.7</v>
      </c>
      <c r="P218">
        <v>10.210000000000001</v>
      </c>
      <c r="Q218">
        <v>109.53</v>
      </c>
      <c r="R218">
        <v>131.63</v>
      </c>
      <c r="S218">
        <v>6000</v>
      </c>
      <c r="T218">
        <v>546000</v>
      </c>
    </row>
    <row r="219" spans="1:20" x14ac:dyDescent="0.25">
      <c r="A219" t="s">
        <v>56</v>
      </c>
      <c r="B219" t="s">
        <v>57</v>
      </c>
      <c r="C219" t="s">
        <v>55</v>
      </c>
      <c r="D219" t="s">
        <v>100</v>
      </c>
      <c r="E219" t="s">
        <v>101</v>
      </c>
      <c r="F219" t="s">
        <v>25</v>
      </c>
      <c r="G219" t="s">
        <v>26</v>
      </c>
      <c r="H219">
        <v>35</v>
      </c>
      <c r="I219">
        <v>200.15</v>
      </c>
      <c r="J219">
        <v>51.59</v>
      </c>
      <c r="K219">
        <v>25.78</v>
      </c>
      <c r="L219">
        <v>4.99</v>
      </c>
      <c r="M219">
        <v>2.4900000000000002</v>
      </c>
      <c r="N219">
        <v>0.34</v>
      </c>
      <c r="O219">
        <v>42</v>
      </c>
      <c r="P219">
        <v>1.08</v>
      </c>
      <c r="Q219">
        <v>80.69</v>
      </c>
      <c r="R219">
        <v>94.49</v>
      </c>
      <c r="S219">
        <v>6000</v>
      </c>
      <c r="T219">
        <v>546000</v>
      </c>
    </row>
    <row r="220" spans="1:20" x14ac:dyDescent="0.25">
      <c r="A220" t="s">
        <v>58</v>
      </c>
      <c r="B220" t="s">
        <v>59</v>
      </c>
      <c r="C220" t="s">
        <v>55</v>
      </c>
      <c r="D220" t="s">
        <v>100</v>
      </c>
      <c r="E220" t="s">
        <v>101</v>
      </c>
      <c r="F220" t="s">
        <v>25</v>
      </c>
      <c r="G220" t="s">
        <v>26</v>
      </c>
      <c r="H220">
        <v>35</v>
      </c>
      <c r="I220">
        <v>184.91</v>
      </c>
      <c r="J220">
        <v>57.64</v>
      </c>
      <c r="K220">
        <v>31.17</v>
      </c>
      <c r="L220">
        <v>17.05</v>
      </c>
      <c r="M220">
        <v>9.2200000000000006</v>
      </c>
      <c r="N220">
        <v>0.33</v>
      </c>
      <c r="O220">
        <v>52.1</v>
      </c>
      <c r="P220">
        <v>5.19</v>
      </c>
      <c r="Q220">
        <v>93.25</v>
      </c>
      <c r="R220">
        <v>105.56</v>
      </c>
      <c r="S220">
        <v>6000</v>
      </c>
      <c r="T220">
        <v>546000</v>
      </c>
    </row>
    <row r="221" spans="1:20" x14ac:dyDescent="0.25">
      <c r="A221" t="s">
        <v>60</v>
      </c>
      <c r="B221" t="s">
        <v>61</v>
      </c>
      <c r="C221" t="s">
        <v>62</v>
      </c>
      <c r="D221" t="s">
        <v>100</v>
      </c>
      <c r="E221" t="s">
        <v>101</v>
      </c>
      <c r="F221" t="s">
        <v>25</v>
      </c>
      <c r="G221" t="s">
        <v>26</v>
      </c>
      <c r="H221">
        <v>35</v>
      </c>
      <c r="I221">
        <v>203.95</v>
      </c>
      <c r="J221">
        <v>53.03</v>
      </c>
      <c r="K221">
        <v>26</v>
      </c>
      <c r="L221">
        <v>14.97</v>
      </c>
      <c r="M221">
        <v>7.34</v>
      </c>
      <c r="N221">
        <v>0.36</v>
      </c>
      <c r="O221">
        <v>14.6</v>
      </c>
      <c r="P221">
        <v>0.61</v>
      </c>
      <c r="Q221">
        <v>84.29</v>
      </c>
      <c r="R221">
        <v>97.13</v>
      </c>
      <c r="S221">
        <v>6000</v>
      </c>
      <c r="T221">
        <v>546000</v>
      </c>
    </row>
    <row r="222" spans="1:20" x14ac:dyDescent="0.25">
      <c r="A222" t="s">
        <v>63</v>
      </c>
      <c r="B222" t="s">
        <v>64</v>
      </c>
      <c r="C222" t="s">
        <v>62</v>
      </c>
      <c r="D222" t="s">
        <v>100</v>
      </c>
      <c r="E222" t="s">
        <v>101</v>
      </c>
      <c r="F222" t="s">
        <v>25</v>
      </c>
      <c r="G222" t="s">
        <v>26</v>
      </c>
      <c r="H222">
        <v>35</v>
      </c>
      <c r="I222">
        <v>193.56</v>
      </c>
      <c r="J222">
        <v>55.68</v>
      </c>
      <c r="K222">
        <v>28.76</v>
      </c>
      <c r="L222">
        <v>18.16</v>
      </c>
      <c r="M222">
        <v>9.3800000000000008</v>
      </c>
      <c r="N222">
        <v>0.33</v>
      </c>
      <c r="O222">
        <v>9.8000000000000007</v>
      </c>
      <c r="P222">
        <v>0.73</v>
      </c>
      <c r="Q222">
        <v>88.18</v>
      </c>
      <c r="R222">
        <v>101.97</v>
      </c>
      <c r="S222">
        <v>6000</v>
      </c>
      <c r="T222">
        <v>546000</v>
      </c>
    </row>
    <row r="223" spans="1:20" x14ac:dyDescent="0.25">
      <c r="A223" t="s">
        <v>65</v>
      </c>
      <c r="B223" t="s">
        <v>66</v>
      </c>
      <c r="C223" t="s">
        <v>62</v>
      </c>
      <c r="D223" t="s">
        <v>100</v>
      </c>
      <c r="E223" t="s">
        <v>101</v>
      </c>
      <c r="F223" t="s">
        <v>25</v>
      </c>
      <c r="G223" t="s">
        <v>26</v>
      </c>
      <c r="H223">
        <v>35</v>
      </c>
      <c r="I223">
        <v>203.79</v>
      </c>
      <c r="J223">
        <v>53.25</v>
      </c>
      <c r="K223">
        <v>26.13</v>
      </c>
      <c r="L223">
        <v>19.29</v>
      </c>
      <c r="M223">
        <v>9.4600000000000009</v>
      </c>
      <c r="N223">
        <v>0.37</v>
      </c>
      <c r="O223">
        <v>49.3</v>
      </c>
      <c r="P223">
        <v>2.19</v>
      </c>
      <c r="Q223">
        <v>85.16</v>
      </c>
      <c r="R223">
        <v>97.52</v>
      </c>
      <c r="S223">
        <v>6000</v>
      </c>
      <c r="T223">
        <v>546000</v>
      </c>
    </row>
    <row r="224" spans="1:20" x14ac:dyDescent="0.25">
      <c r="A224" t="s">
        <v>67</v>
      </c>
      <c r="B224" t="s">
        <v>68</v>
      </c>
      <c r="C224" t="s">
        <v>69</v>
      </c>
      <c r="D224" t="s">
        <v>100</v>
      </c>
      <c r="E224" t="s">
        <v>101</v>
      </c>
      <c r="F224" t="s">
        <v>25</v>
      </c>
      <c r="G224" t="s">
        <v>26</v>
      </c>
      <c r="H224">
        <v>35</v>
      </c>
      <c r="I224">
        <v>195.66</v>
      </c>
      <c r="J224">
        <v>49.12</v>
      </c>
      <c r="K224">
        <v>25.1</v>
      </c>
      <c r="L224">
        <v>23.83</v>
      </c>
      <c r="M224">
        <v>12.18</v>
      </c>
      <c r="N224">
        <v>0.36</v>
      </c>
      <c r="O224">
        <v>46.6</v>
      </c>
      <c r="P224">
        <v>0</v>
      </c>
      <c r="Q224">
        <v>78.33</v>
      </c>
      <c r="R224">
        <v>89.96</v>
      </c>
      <c r="S224">
        <v>6000</v>
      </c>
      <c r="T224">
        <v>546000</v>
      </c>
    </row>
    <row r="225" spans="1:20" x14ac:dyDescent="0.25">
      <c r="A225" t="s">
        <v>70</v>
      </c>
      <c r="B225" t="s">
        <v>71</v>
      </c>
      <c r="C225" t="s">
        <v>69</v>
      </c>
      <c r="D225" t="s">
        <v>100</v>
      </c>
      <c r="E225" t="s">
        <v>101</v>
      </c>
      <c r="F225" t="s">
        <v>25</v>
      </c>
      <c r="G225" t="s">
        <v>26</v>
      </c>
      <c r="H225">
        <v>35</v>
      </c>
      <c r="I225">
        <v>210.46</v>
      </c>
      <c r="J225">
        <v>54.06</v>
      </c>
      <c r="K225">
        <v>25.69</v>
      </c>
      <c r="L225">
        <v>14.03</v>
      </c>
      <c r="M225">
        <v>6.66</v>
      </c>
      <c r="N225">
        <v>0.39</v>
      </c>
      <c r="O225">
        <v>11.5</v>
      </c>
      <c r="P225">
        <v>0.62</v>
      </c>
      <c r="Q225">
        <v>84.61</v>
      </c>
      <c r="R225">
        <v>99.02</v>
      </c>
      <c r="S225">
        <v>6000</v>
      </c>
      <c r="T225">
        <v>546000</v>
      </c>
    </row>
    <row r="226" spans="1:20" x14ac:dyDescent="0.25">
      <c r="A226" t="s">
        <v>72</v>
      </c>
      <c r="B226" t="s">
        <v>73</v>
      </c>
      <c r="C226" t="s">
        <v>69</v>
      </c>
      <c r="D226" t="s">
        <v>100</v>
      </c>
      <c r="E226" t="s">
        <v>101</v>
      </c>
      <c r="F226" t="s">
        <v>25</v>
      </c>
      <c r="G226" t="s">
        <v>26</v>
      </c>
      <c r="H226">
        <v>35</v>
      </c>
      <c r="I226">
        <v>209.52</v>
      </c>
      <c r="J226">
        <v>55.57</v>
      </c>
      <c r="K226">
        <v>26.52</v>
      </c>
      <c r="L226">
        <v>16.66</v>
      </c>
      <c r="M226">
        <v>7.95</v>
      </c>
      <c r="N226">
        <v>0.35</v>
      </c>
      <c r="O226">
        <v>18.5</v>
      </c>
      <c r="P226">
        <v>1.35</v>
      </c>
      <c r="Q226">
        <v>84.06</v>
      </c>
      <c r="R226">
        <v>101.78</v>
      </c>
      <c r="S226">
        <v>6000</v>
      </c>
      <c r="T226">
        <v>546000</v>
      </c>
    </row>
    <row r="227" spans="1:20" x14ac:dyDescent="0.25">
      <c r="A227" t="s">
        <v>74</v>
      </c>
      <c r="B227" t="s">
        <v>75</v>
      </c>
      <c r="C227" t="s">
        <v>69</v>
      </c>
      <c r="D227" t="s">
        <v>100</v>
      </c>
      <c r="E227" t="s">
        <v>101</v>
      </c>
      <c r="F227" t="s">
        <v>25</v>
      </c>
      <c r="G227" t="s">
        <v>26</v>
      </c>
      <c r="H227">
        <v>35</v>
      </c>
      <c r="I227">
        <v>201.47</v>
      </c>
      <c r="J227">
        <v>51.31</v>
      </c>
      <c r="K227">
        <v>25.47</v>
      </c>
      <c r="L227">
        <v>23.99</v>
      </c>
      <c r="M227">
        <v>11.91</v>
      </c>
      <c r="N227">
        <v>0.37</v>
      </c>
      <c r="O227">
        <v>27.1</v>
      </c>
      <c r="P227">
        <v>0.61</v>
      </c>
      <c r="Q227">
        <v>80.400000000000006</v>
      </c>
      <c r="R227">
        <v>93.98</v>
      </c>
      <c r="S227">
        <v>6000</v>
      </c>
      <c r="T227">
        <v>546000</v>
      </c>
    </row>
    <row r="228" spans="1:20" x14ac:dyDescent="0.25">
      <c r="A228" t="s">
        <v>76</v>
      </c>
      <c r="B228" t="s">
        <v>77</v>
      </c>
      <c r="C228" t="s">
        <v>69</v>
      </c>
      <c r="D228" t="s">
        <v>100</v>
      </c>
      <c r="E228" t="s">
        <v>101</v>
      </c>
      <c r="F228" t="s">
        <v>25</v>
      </c>
      <c r="G228" t="s">
        <v>26</v>
      </c>
      <c r="H228">
        <v>35</v>
      </c>
      <c r="I228">
        <v>206.94</v>
      </c>
      <c r="J228">
        <v>61.44</v>
      </c>
      <c r="K228">
        <v>29.69</v>
      </c>
      <c r="L228">
        <v>24.59</v>
      </c>
      <c r="M228">
        <v>11.88</v>
      </c>
      <c r="N228">
        <v>0.32</v>
      </c>
      <c r="O228">
        <v>62.4</v>
      </c>
      <c r="P228">
        <v>9.59</v>
      </c>
      <c r="Q228">
        <v>94.78</v>
      </c>
      <c r="R228">
        <v>112.52</v>
      </c>
      <c r="S228">
        <v>6000</v>
      </c>
      <c r="T228">
        <v>546000</v>
      </c>
    </row>
    <row r="229" spans="1:20" x14ac:dyDescent="0.25">
      <c r="A229" t="s">
        <v>78</v>
      </c>
      <c r="B229" t="s">
        <v>79</v>
      </c>
      <c r="C229" t="s">
        <v>80</v>
      </c>
      <c r="D229" t="s">
        <v>100</v>
      </c>
      <c r="E229" t="s">
        <v>101</v>
      </c>
      <c r="F229" t="s">
        <v>25</v>
      </c>
      <c r="G229" t="s">
        <v>26</v>
      </c>
      <c r="H229">
        <v>35</v>
      </c>
      <c r="I229">
        <v>195.5</v>
      </c>
      <c r="J229">
        <v>55.44</v>
      </c>
      <c r="K229">
        <v>28.36</v>
      </c>
      <c r="L229">
        <v>25.71</v>
      </c>
      <c r="M229">
        <v>13.15</v>
      </c>
      <c r="N229">
        <v>0.36</v>
      </c>
      <c r="O229">
        <v>6.5</v>
      </c>
      <c r="P229">
        <v>0.46</v>
      </c>
      <c r="Q229">
        <v>85.13</v>
      </c>
      <c r="R229">
        <v>101.54</v>
      </c>
      <c r="S229">
        <v>6000</v>
      </c>
      <c r="T229">
        <v>546000</v>
      </c>
    </row>
    <row r="230" spans="1:20" x14ac:dyDescent="0.25">
      <c r="A230" t="s">
        <v>81</v>
      </c>
      <c r="B230" t="s">
        <v>82</v>
      </c>
      <c r="C230" t="s">
        <v>80</v>
      </c>
      <c r="D230" t="s">
        <v>100</v>
      </c>
      <c r="E230" t="s">
        <v>101</v>
      </c>
      <c r="F230" t="s">
        <v>25</v>
      </c>
      <c r="G230" t="s">
        <v>26</v>
      </c>
      <c r="H230">
        <v>35</v>
      </c>
      <c r="I230">
        <v>213.21</v>
      </c>
      <c r="J230">
        <v>65.75</v>
      </c>
      <c r="K230">
        <v>30.84</v>
      </c>
      <c r="L230">
        <v>22.19</v>
      </c>
      <c r="M230">
        <v>10.41</v>
      </c>
      <c r="N230">
        <v>0.38</v>
      </c>
      <c r="O230">
        <v>7.1</v>
      </c>
      <c r="P230">
        <v>1.58</v>
      </c>
      <c r="Q230">
        <v>101.77</v>
      </c>
      <c r="R230">
        <v>120.43</v>
      </c>
      <c r="S230">
        <v>6000</v>
      </c>
      <c r="T230">
        <v>546000</v>
      </c>
    </row>
    <row r="231" spans="1:20" x14ac:dyDescent="0.25">
      <c r="A231" t="s">
        <v>83</v>
      </c>
      <c r="B231" t="s">
        <v>84</v>
      </c>
      <c r="C231" t="s">
        <v>80</v>
      </c>
      <c r="D231" t="s">
        <v>100</v>
      </c>
      <c r="E231" t="s">
        <v>101</v>
      </c>
      <c r="F231" t="s">
        <v>25</v>
      </c>
      <c r="G231" t="s">
        <v>26</v>
      </c>
      <c r="H231">
        <v>35</v>
      </c>
      <c r="I231">
        <v>211.69</v>
      </c>
      <c r="J231">
        <v>61.27</v>
      </c>
      <c r="K231">
        <v>28.94</v>
      </c>
      <c r="L231">
        <v>21.72</v>
      </c>
      <c r="M231">
        <v>10.26</v>
      </c>
      <c r="N231">
        <v>0.36</v>
      </c>
      <c r="O231">
        <v>36.4</v>
      </c>
      <c r="P231">
        <v>5.51</v>
      </c>
      <c r="Q231">
        <v>93.24</v>
      </c>
      <c r="R231">
        <v>112.22</v>
      </c>
      <c r="S231">
        <v>6000</v>
      </c>
      <c r="T231">
        <v>546000</v>
      </c>
    </row>
    <row r="232" spans="1:20" x14ac:dyDescent="0.25">
      <c r="A232" t="s">
        <v>85</v>
      </c>
      <c r="B232" t="s">
        <v>86</v>
      </c>
      <c r="C232" t="s">
        <v>80</v>
      </c>
      <c r="D232" t="s">
        <v>100</v>
      </c>
      <c r="E232" t="s">
        <v>101</v>
      </c>
      <c r="F232" t="s">
        <v>25</v>
      </c>
      <c r="G232" t="s">
        <v>26</v>
      </c>
      <c r="H232">
        <v>35</v>
      </c>
      <c r="I232">
        <v>209.36</v>
      </c>
      <c r="J232">
        <v>60.97</v>
      </c>
      <c r="K232">
        <v>29.12</v>
      </c>
      <c r="L232">
        <v>14.61</v>
      </c>
      <c r="M232">
        <v>6.98</v>
      </c>
      <c r="N232">
        <v>0.39</v>
      </c>
      <c r="O232">
        <v>20</v>
      </c>
      <c r="P232">
        <v>2.94</v>
      </c>
      <c r="Q232">
        <v>99.34</v>
      </c>
      <c r="R232">
        <v>111.67</v>
      </c>
      <c r="S232">
        <v>6000</v>
      </c>
      <c r="T232">
        <v>546000</v>
      </c>
    </row>
    <row r="233" spans="1:20" x14ac:dyDescent="0.25">
      <c r="A233" t="s">
        <v>87</v>
      </c>
      <c r="B233" t="s">
        <v>88</v>
      </c>
      <c r="C233" t="s">
        <v>89</v>
      </c>
      <c r="D233" t="s">
        <v>100</v>
      </c>
      <c r="E233" t="s">
        <v>101</v>
      </c>
      <c r="F233" t="s">
        <v>25</v>
      </c>
      <c r="G233" t="s">
        <v>26</v>
      </c>
      <c r="H233">
        <v>35</v>
      </c>
      <c r="I233">
        <v>143.85</v>
      </c>
      <c r="J233">
        <v>80.150000000000006</v>
      </c>
      <c r="K233">
        <v>55.72</v>
      </c>
      <c r="L233">
        <v>-35.619999999999997</v>
      </c>
      <c r="M233">
        <v>-24.76</v>
      </c>
      <c r="N233">
        <v>0.26</v>
      </c>
      <c r="O233">
        <v>55.4</v>
      </c>
      <c r="P233">
        <v>28.02</v>
      </c>
      <c r="Q233">
        <v>130.88</v>
      </c>
      <c r="R233">
        <v>146.80000000000001</v>
      </c>
      <c r="S233">
        <v>6000</v>
      </c>
      <c r="T233">
        <v>546000</v>
      </c>
    </row>
    <row r="234" spans="1:20" x14ac:dyDescent="0.25">
      <c r="A234" t="s">
        <v>20</v>
      </c>
      <c r="B234" t="s">
        <v>21</v>
      </c>
      <c r="C234" t="s">
        <v>22</v>
      </c>
      <c r="D234" t="s">
        <v>102</v>
      </c>
      <c r="E234" t="s">
        <v>103</v>
      </c>
      <c r="F234" t="s">
        <v>25</v>
      </c>
      <c r="G234" t="s">
        <v>26</v>
      </c>
      <c r="H234">
        <v>148</v>
      </c>
      <c r="I234">
        <v>1255.99</v>
      </c>
      <c r="J234">
        <v>203.6</v>
      </c>
      <c r="K234">
        <v>16.21</v>
      </c>
      <c r="L234">
        <v>142.80000000000001</v>
      </c>
      <c r="M234">
        <v>11.37</v>
      </c>
      <c r="N234">
        <v>1.35</v>
      </c>
      <c r="O234">
        <v>31.2</v>
      </c>
      <c r="P234">
        <v>0</v>
      </c>
      <c r="Q234">
        <v>63</v>
      </c>
      <c r="R234">
        <v>74.58</v>
      </c>
      <c r="S234">
        <v>30000</v>
      </c>
      <c r="T234">
        <v>2730000</v>
      </c>
    </row>
    <row r="235" spans="1:20" x14ac:dyDescent="0.25">
      <c r="A235" t="s">
        <v>27</v>
      </c>
      <c r="B235" t="s">
        <v>28</v>
      </c>
      <c r="C235" t="s">
        <v>22</v>
      </c>
      <c r="D235" t="s">
        <v>102</v>
      </c>
      <c r="E235" t="s">
        <v>103</v>
      </c>
      <c r="F235" t="s">
        <v>25</v>
      </c>
      <c r="G235" t="s">
        <v>26</v>
      </c>
      <c r="H235">
        <v>148</v>
      </c>
      <c r="I235">
        <v>1246.5899999999999</v>
      </c>
      <c r="J235">
        <v>200.22</v>
      </c>
      <c r="K235">
        <v>16.059999999999999</v>
      </c>
      <c r="L235">
        <v>76.36</v>
      </c>
      <c r="M235">
        <v>6.13</v>
      </c>
      <c r="N235">
        <v>1.5</v>
      </c>
      <c r="O235">
        <v>27.2</v>
      </c>
      <c r="P235">
        <v>0</v>
      </c>
      <c r="Q235">
        <v>64.790000000000006</v>
      </c>
      <c r="R235">
        <v>73.34</v>
      </c>
      <c r="S235">
        <v>30000</v>
      </c>
      <c r="T235">
        <v>2730000</v>
      </c>
    </row>
    <row r="236" spans="1:20" x14ac:dyDescent="0.25">
      <c r="A236" t="s">
        <v>29</v>
      </c>
      <c r="B236" t="s">
        <v>30</v>
      </c>
      <c r="C236" t="s">
        <v>22</v>
      </c>
      <c r="D236" t="s">
        <v>102</v>
      </c>
      <c r="E236" t="s">
        <v>103</v>
      </c>
      <c r="F236" t="s">
        <v>25</v>
      </c>
      <c r="G236" t="s">
        <v>26</v>
      </c>
      <c r="H236">
        <v>148</v>
      </c>
      <c r="I236">
        <v>1239.4000000000001</v>
      </c>
      <c r="J236">
        <v>194.13</v>
      </c>
      <c r="K236">
        <v>15.66</v>
      </c>
      <c r="L236">
        <v>113.41</v>
      </c>
      <c r="M236">
        <v>9.15</v>
      </c>
      <c r="N236">
        <v>1.5</v>
      </c>
      <c r="O236">
        <v>21.6</v>
      </c>
      <c r="P236">
        <v>0</v>
      </c>
      <c r="Q236">
        <v>60.46</v>
      </c>
      <c r="R236">
        <v>71.11</v>
      </c>
      <c r="S236">
        <v>30000</v>
      </c>
      <c r="T236">
        <v>2730000</v>
      </c>
    </row>
    <row r="237" spans="1:20" x14ac:dyDescent="0.25">
      <c r="A237" t="s">
        <v>31</v>
      </c>
      <c r="B237" t="s">
        <v>32</v>
      </c>
      <c r="C237" t="s">
        <v>22</v>
      </c>
      <c r="D237" t="s">
        <v>102</v>
      </c>
      <c r="E237" t="s">
        <v>103</v>
      </c>
      <c r="F237" t="s">
        <v>25</v>
      </c>
      <c r="G237" t="s">
        <v>26</v>
      </c>
      <c r="H237">
        <v>148</v>
      </c>
      <c r="I237">
        <v>1258.8699999999999</v>
      </c>
      <c r="J237">
        <v>210.13</v>
      </c>
      <c r="K237">
        <v>16.690000000000001</v>
      </c>
      <c r="L237">
        <v>131.37</v>
      </c>
      <c r="M237">
        <v>10.44</v>
      </c>
      <c r="N237">
        <v>1.51</v>
      </c>
      <c r="O237">
        <v>55.8</v>
      </c>
      <c r="P237">
        <v>0</v>
      </c>
      <c r="Q237">
        <v>65.66</v>
      </c>
      <c r="R237">
        <v>76.97</v>
      </c>
      <c r="S237">
        <v>30000</v>
      </c>
      <c r="T237">
        <v>2730000</v>
      </c>
    </row>
    <row r="238" spans="1:20" x14ac:dyDescent="0.25">
      <c r="A238" t="s">
        <v>33</v>
      </c>
      <c r="B238" t="s">
        <v>34</v>
      </c>
      <c r="C238" t="s">
        <v>22</v>
      </c>
      <c r="D238" t="s">
        <v>102</v>
      </c>
      <c r="E238" t="s">
        <v>103</v>
      </c>
      <c r="F238" t="s">
        <v>25</v>
      </c>
      <c r="G238" t="s">
        <v>26</v>
      </c>
      <c r="H238">
        <v>148</v>
      </c>
      <c r="I238">
        <v>1346.03</v>
      </c>
      <c r="J238">
        <v>205.79</v>
      </c>
      <c r="K238">
        <v>15.29</v>
      </c>
      <c r="L238">
        <v>78.63</v>
      </c>
      <c r="M238">
        <v>5.84</v>
      </c>
      <c r="N238">
        <v>1.57</v>
      </c>
      <c r="O238">
        <v>53.5</v>
      </c>
      <c r="P238">
        <v>0</v>
      </c>
      <c r="Q238">
        <v>66.66</v>
      </c>
      <c r="R238">
        <v>75.38</v>
      </c>
      <c r="S238">
        <v>30000</v>
      </c>
      <c r="T238">
        <v>2730000</v>
      </c>
    </row>
    <row r="239" spans="1:20" x14ac:dyDescent="0.25">
      <c r="A239" t="s">
        <v>35</v>
      </c>
      <c r="B239" t="s">
        <v>36</v>
      </c>
      <c r="C239" t="s">
        <v>37</v>
      </c>
      <c r="D239" t="s">
        <v>102</v>
      </c>
      <c r="E239" t="s">
        <v>103</v>
      </c>
      <c r="F239" t="s">
        <v>25</v>
      </c>
      <c r="G239" t="s">
        <v>26</v>
      </c>
      <c r="H239">
        <v>148</v>
      </c>
      <c r="I239">
        <v>415.88</v>
      </c>
      <c r="J239">
        <v>64.67</v>
      </c>
      <c r="K239">
        <v>15.55</v>
      </c>
      <c r="L239">
        <v>-145.15</v>
      </c>
      <c r="M239">
        <v>-34.9</v>
      </c>
      <c r="N239">
        <v>0.45</v>
      </c>
      <c r="O239">
        <v>10.1</v>
      </c>
      <c r="P239">
        <v>0</v>
      </c>
      <c r="Q239">
        <v>20.57</v>
      </c>
      <c r="R239">
        <v>23.69</v>
      </c>
      <c r="S239">
        <v>30000</v>
      </c>
      <c r="T239">
        <v>2730000</v>
      </c>
    </row>
    <row r="240" spans="1:20" x14ac:dyDescent="0.25">
      <c r="A240" t="s">
        <v>38</v>
      </c>
      <c r="B240" t="s">
        <v>39</v>
      </c>
      <c r="C240" t="s">
        <v>37</v>
      </c>
      <c r="D240" t="s">
        <v>102</v>
      </c>
      <c r="E240" t="s">
        <v>103</v>
      </c>
      <c r="F240" t="s">
        <v>25</v>
      </c>
      <c r="G240" t="s">
        <v>26</v>
      </c>
      <c r="H240">
        <v>148</v>
      </c>
      <c r="I240">
        <v>395.9</v>
      </c>
      <c r="J240">
        <v>137.66999999999999</v>
      </c>
      <c r="K240">
        <v>34.78</v>
      </c>
      <c r="L240">
        <v>-105.19</v>
      </c>
      <c r="M240">
        <v>-26.57</v>
      </c>
      <c r="N240">
        <v>0.4</v>
      </c>
      <c r="O240">
        <v>1.3</v>
      </c>
      <c r="P240">
        <v>0</v>
      </c>
      <c r="Q240">
        <v>44.05</v>
      </c>
      <c r="R240">
        <v>50.43</v>
      </c>
      <c r="S240">
        <v>30000</v>
      </c>
      <c r="T240">
        <v>2730000</v>
      </c>
    </row>
    <row r="241" spans="1:20" x14ac:dyDescent="0.25">
      <c r="A241" t="s">
        <v>40</v>
      </c>
      <c r="B241" t="s">
        <v>41</v>
      </c>
      <c r="C241" t="s">
        <v>37</v>
      </c>
      <c r="D241" t="s">
        <v>102</v>
      </c>
      <c r="E241" t="s">
        <v>103</v>
      </c>
      <c r="F241" t="s">
        <v>25</v>
      </c>
      <c r="G241" t="s">
        <v>26</v>
      </c>
      <c r="H241">
        <v>148</v>
      </c>
      <c r="I241">
        <v>442.45</v>
      </c>
      <c r="J241">
        <v>124.65</v>
      </c>
      <c r="K241">
        <v>28.17</v>
      </c>
      <c r="L241">
        <v>-197.19</v>
      </c>
      <c r="M241">
        <v>-44.57</v>
      </c>
      <c r="N241">
        <v>0.5</v>
      </c>
      <c r="O241">
        <v>29.5</v>
      </c>
      <c r="P241">
        <v>0</v>
      </c>
      <c r="Q241">
        <v>39.950000000000003</v>
      </c>
      <c r="R241">
        <v>45.66</v>
      </c>
      <c r="S241">
        <v>30000</v>
      </c>
      <c r="T241">
        <v>2730000</v>
      </c>
    </row>
    <row r="242" spans="1:20" x14ac:dyDescent="0.25">
      <c r="A242" t="s">
        <v>42</v>
      </c>
      <c r="B242" t="s">
        <v>43</v>
      </c>
      <c r="C242" t="s">
        <v>37</v>
      </c>
      <c r="D242" t="s">
        <v>102</v>
      </c>
      <c r="E242" t="s">
        <v>103</v>
      </c>
      <c r="F242" t="s">
        <v>25</v>
      </c>
      <c r="G242" t="s">
        <v>26</v>
      </c>
      <c r="H242">
        <v>148</v>
      </c>
      <c r="I242">
        <v>397.13</v>
      </c>
      <c r="J242">
        <v>234.15</v>
      </c>
      <c r="K242">
        <v>58.96</v>
      </c>
      <c r="L242">
        <v>-170</v>
      </c>
      <c r="M242">
        <v>-42.81</v>
      </c>
      <c r="N242">
        <v>0.45</v>
      </c>
      <c r="O242">
        <v>40</v>
      </c>
      <c r="P242">
        <v>0</v>
      </c>
      <c r="Q242">
        <v>75.489999999999995</v>
      </c>
      <c r="R242">
        <v>85.77</v>
      </c>
      <c r="S242">
        <v>30000</v>
      </c>
      <c r="T242">
        <v>2730000</v>
      </c>
    </row>
    <row r="243" spans="1:20" x14ac:dyDescent="0.25">
      <c r="A243" t="s">
        <v>44</v>
      </c>
      <c r="B243" t="s">
        <v>45</v>
      </c>
      <c r="C243" t="s">
        <v>37</v>
      </c>
      <c r="D243" t="s">
        <v>102</v>
      </c>
      <c r="E243" t="s">
        <v>103</v>
      </c>
      <c r="F243" t="s">
        <v>25</v>
      </c>
      <c r="G243" t="s">
        <v>26</v>
      </c>
      <c r="H243">
        <v>148</v>
      </c>
      <c r="I243">
        <v>416.93</v>
      </c>
      <c r="J243">
        <v>248.21</v>
      </c>
      <c r="K243">
        <v>59.53</v>
      </c>
      <c r="L243">
        <v>-133.57</v>
      </c>
      <c r="M243">
        <v>-32.04</v>
      </c>
      <c r="N243">
        <v>0.48</v>
      </c>
      <c r="O243">
        <v>28.4</v>
      </c>
      <c r="P243">
        <v>0.72</v>
      </c>
      <c r="Q243">
        <v>76.83</v>
      </c>
      <c r="R243">
        <v>90.92</v>
      </c>
      <c r="S243">
        <v>30000</v>
      </c>
      <c r="T243">
        <v>2730000</v>
      </c>
    </row>
    <row r="244" spans="1:20" x14ac:dyDescent="0.25">
      <c r="A244" t="s">
        <v>46</v>
      </c>
      <c r="B244" t="s">
        <v>47</v>
      </c>
      <c r="C244" t="s">
        <v>48</v>
      </c>
      <c r="D244" t="s">
        <v>102</v>
      </c>
      <c r="E244" t="s">
        <v>103</v>
      </c>
      <c r="F244" t="s">
        <v>25</v>
      </c>
      <c r="G244" t="s">
        <v>26</v>
      </c>
      <c r="H244">
        <v>148</v>
      </c>
      <c r="I244">
        <v>1100.83</v>
      </c>
      <c r="J244">
        <v>245.48</v>
      </c>
      <c r="K244">
        <v>22.3</v>
      </c>
      <c r="L244">
        <v>25.01</v>
      </c>
      <c r="M244">
        <v>2.27</v>
      </c>
      <c r="N244">
        <v>1.28</v>
      </c>
      <c r="O244">
        <v>6</v>
      </c>
      <c r="P244">
        <v>0</v>
      </c>
      <c r="Q244">
        <v>78.97</v>
      </c>
      <c r="R244">
        <v>89.92</v>
      </c>
      <c r="S244">
        <v>30000</v>
      </c>
      <c r="T244">
        <v>2730000</v>
      </c>
    </row>
    <row r="245" spans="1:20" x14ac:dyDescent="0.25">
      <c r="A245" t="s">
        <v>49</v>
      </c>
      <c r="B245" t="s">
        <v>50</v>
      </c>
      <c r="C245" t="s">
        <v>48</v>
      </c>
      <c r="D245" t="s">
        <v>102</v>
      </c>
      <c r="E245" t="s">
        <v>103</v>
      </c>
      <c r="F245" t="s">
        <v>25</v>
      </c>
      <c r="G245" t="s">
        <v>26</v>
      </c>
      <c r="H245">
        <v>148</v>
      </c>
      <c r="I245">
        <v>965.32</v>
      </c>
      <c r="J245">
        <v>284.60000000000002</v>
      </c>
      <c r="K245">
        <v>29.48</v>
      </c>
      <c r="L245">
        <v>-40.18</v>
      </c>
      <c r="M245">
        <v>-4.16</v>
      </c>
      <c r="N245">
        <v>0.99</v>
      </c>
      <c r="O245">
        <v>32.9</v>
      </c>
      <c r="P245">
        <v>14.83</v>
      </c>
      <c r="Q245">
        <v>86.82</v>
      </c>
      <c r="R245">
        <v>104.25</v>
      </c>
      <c r="S245">
        <v>30000</v>
      </c>
      <c r="T245">
        <v>2730000</v>
      </c>
    </row>
    <row r="246" spans="1:20" x14ac:dyDescent="0.25">
      <c r="A246" t="s">
        <v>51</v>
      </c>
      <c r="B246" t="s">
        <v>52</v>
      </c>
      <c r="C246" t="s">
        <v>48</v>
      </c>
      <c r="D246" t="s">
        <v>102</v>
      </c>
      <c r="E246" t="s">
        <v>103</v>
      </c>
      <c r="F246" t="s">
        <v>25</v>
      </c>
      <c r="G246" t="s">
        <v>26</v>
      </c>
      <c r="H246">
        <v>148</v>
      </c>
      <c r="I246">
        <v>936.6</v>
      </c>
      <c r="J246">
        <v>222.33</v>
      </c>
      <c r="K246">
        <v>23.74</v>
      </c>
      <c r="L246">
        <v>9.16</v>
      </c>
      <c r="M246">
        <v>0.98</v>
      </c>
      <c r="N246">
        <v>1.03</v>
      </c>
      <c r="O246">
        <v>10.4</v>
      </c>
      <c r="P246">
        <v>0</v>
      </c>
      <c r="Q246">
        <v>72.010000000000005</v>
      </c>
      <c r="R246">
        <v>81.44</v>
      </c>
      <c r="S246">
        <v>30000</v>
      </c>
      <c r="T246">
        <v>2730000</v>
      </c>
    </row>
    <row r="247" spans="1:20" x14ac:dyDescent="0.25">
      <c r="A247" t="s">
        <v>53</v>
      </c>
      <c r="B247" t="s">
        <v>54</v>
      </c>
      <c r="C247" t="s">
        <v>55</v>
      </c>
      <c r="D247" t="s">
        <v>102</v>
      </c>
      <c r="E247" t="s">
        <v>103</v>
      </c>
      <c r="F247" t="s">
        <v>25</v>
      </c>
      <c r="G247" t="s">
        <v>26</v>
      </c>
      <c r="H247">
        <v>148</v>
      </c>
      <c r="I247">
        <v>1265.1199999999999</v>
      </c>
      <c r="J247">
        <v>359.35</v>
      </c>
      <c r="K247">
        <v>28.4</v>
      </c>
      <c r="L247">
        <v>112.4</v>
      </c>
      <c r="M247">
        <v>8.8800000000000008</v>
      </c>
      <c r="N247">
        <v>1.5</v>
      </c>
      <c r="O247">
        <v>31.9</v>
      </c>
      <c r="P247">
        <v>53.02</v>
      </c>
      <c r="Q247">
        <v>109.53</v>
      </c>
      <c r="R247">
        <v>131.63</v>
      </c>
      <c r="S247">
        <v>30000</v>
      </c>
      <c r="T247">
        <v>2730000</v>
      </c>
    </row>
    <row r="248" spans="1:20" x14ac:dyDescent="0.25">
      <c r="A248" t="s">
        <v>56</v>
      </c>
      <c r="B248" t="s">
        <v>57</v>
      </c>
      <c r="C248" t="s">
        <v>55</v>
      </c>
      <c r="D248" t="s">
        <v>102</v>
      </c>
      <c r="E248" t="s">
        <v>103</v>
      </c>
      <c r="F248" t="s">
        <v>25</v>
      </c>
      <c r="G248" t="s">
        <v>26</v>
      </c>
      <c r="H248">
        <v>148</v>
      </c>
      <c r="I248">
        <v>1364.78</v>
      </c>
      <c r="J248">
        <v>257.95999999999998</v>
      </c>
      <c r="K248">
        <v>18.899999999999999</v>
      </c>
      <c r="L248">
        <v>109.57</v>
      </c>
      <c r="M248">
        <v>8.0299999999999994</v>
      </c>
      <c r="N248">
        <v>1.37</v>
      </c>
      <c r="O248">
        <v>39.700000000000003</v>
      </c>
      <c r="P248">
        <v>5.1100000000000003</v>
      </c>
      <c r="Q248">
        <v>80.69</v>
      </c>
      <c r="R248">
        <v>94.49</v>
      </c>
      <c r="S248">
        <v>30000</v>
      </c>
      <c r="T248">
        <v>2730000</v>
      </c>
    </row>
    <row r="249" spans="1:20" x14ac:dyDescent="0.25">
      <c r="A249" t="s">
        <v>58</v>
      </c>
      <c r="B249" t="s">
        <v>59</v>
      </c>
      <c r="C249" t="s">
        <v>55</v>
      </c>
      <c r="D249" t="s">
        <v>102</v>
      </c>
      <c r="E249" t="s">
        <v>103</v>
      </c>
      <c r="F249" t="s">
        <v>25</v>
      </c>
      <c r="G249" t="s">
        <v>26</v>
      </c>
      <c r="H249">
        <v>148</v>
      </c>
      <c r="I249">
        <v>1379.18</v>
      </c>
      <c r="J249">
        <v>288.18</v>
      </c>
      <c r="K249">
        <v>20.89</v>
      </c>
      <c r="L249">
        <v>93.12</v>
      </c>
      <c r="M249">
        <v>6.75</v>
      </c>
      <c r="N249">
        <v>1.54</v>
      </c>
      <c r="O249">
        <v>34.5</v>
      </c>
      <c r="P249">
        <v>17.190000000000001</v>
      </c>
      <c r="Q249">
        <v>93.25</v>
      </c>
      <c r="R249">
        <v>105.56</v>
      </c>
      <c r="S249">
        <v>30000</v>
      </c>
      <c r="T249">
        <v>2730000</v>
      </c>
    </row>
    <row r="250" spans="1:20" x14ac:dyDescent="0.25">
      <c r="A250" t="s">
        <v>60</v>
      </c>
      <c r="B250" t="s">
        <v>61</v>
      </c>
      <c r="C250" t="s">
        <v>62</v>
      </c>
      <c r="D250" t="s">
        <v>102</v>
      </c>
      <c r="E250" t="s">
        <v>103</v>
      </c>
      <c r="F250" t="s">
        <v>25</v>
      </c>
      <c r="G250" t="s">
        <v>26</v>
      </c>
      <c r="H250">
        <v>148</v>
      </c>
      <c r="I250">
        <v>1320.84</v>
      </c>
      <c r="J250">
        <v>265.16000000000003</v>
      </c>
      <c r="K250">
        <v>20.079999999999998</v>
      </c>
      <c r="L250">
        <v>155.63999999999999</v>
      </c>
      <c r="M250">
        <v>11.78</v>
      </c>
      <c r="N250">
        <v>1.5</v>
      </c>
      <c r="O250">
        <v>14</v>
      </c>
      <c r="P250">
        <v>2.94</v>
      </c>
      <c r="Q250">
        <v>84.29</v>
      </c>
      <c r="R250">
        <v>97.13</v>
      </c>
      <c r="S250">
        <v>30000</v>
      </c>
      <c r="T250">
        <v>2730000</v>
      </c>
    </row>
    <row r="251" spans="1:20" x14ac:dyDescent="0.25">
      <c r="A251" t="s">
        <v>63</v>
      </c>
      <c r="B251" t="s">
        <v>64</v>
      </c>
      <c r="C251" t="s">
        <v>62</v>
      </c>
      <c r="D251" t="s">
        <v>102</v>
      </c>
      <c r="E251" t="s">
        <v>103</v>
      </c>
      <c r="F251" t="s">
        <v>25</v>
      </c>
      <c r="G251" t="s">
        <v>26</v>
      </c>
      <c r="H251">
        <v>148</v>
      </c>
      <c r="I251">
        <v>1308.24</v>
      </c>
      <c r="J251">
        <v>278.38</v>
      </c>
      <c r="K251">
        <v>21.28</v>
      </c>
      <c r="L251">
        <v>121.49</v>
      </c>
      <c r="M251">
        <v>9.2899999999999991</v>
      </c>
      <c r="N251">
        <v>1.42</v>
      </c>
      <c r="O251">
        <v>15.4</v>
      </c>
      <c r="P251">
        <v>5.7</v>
      </c>
      <c r="Q251">
        <v>88.18</v>
      </c>
      <c r="R251">
        <v>101.97</v>
      </c>
      <c r="S251">
        <v>30000</v>
      </c>
      <c r="T251">
        <v>2730000</v>
      </c>
    </row>
    <row r="252" spans="1:20" x14ac:dyDescent="0.25">
      <c r="A252" t="s">
        <v>65</v>
      </c>
      <c r="B252" t="s">
        <v>66</v>
      </c>
      <c r="C252" t="s">
        <v>62</v>
      </c>
      <c r="D252" t="s">
        <v>102</v>
      </c>
      <c r="E252" t="s">
        <v>103</v>
      </c>
      <c r="F252" t="s">
        <v>25</v>
      </c>
      <c r="G252" t="s">
        <v>26</v>
      </c>
      <c r="H252">
        <v>148</v>
      </c>
      <c r="I252">
        <v>1256.08</v>
      </c>
      <c r="J252">
        <v>266.23</v>
      </c>
      <c r="K252">
        <v>21.2</v>
      </c>
      <c r="L252">
        <v>64.98</v>
      </c>
      <c r="M252">
        <v>5.17</v>
      </c>
      <c r="N252">
        <v>1.33</v>
      </c>
      <c r="O252">
        <v>26.2</v>
      </c>
      <c r="P252">
        <v>5.83</v>
      </c>
      <c r="Q252">
        <v>85.16</v>
      </c>
      <c r="R252">
        <v>97.52</v>
      </c>
      <c r="S252">
        <v>30000</v>
      </c>
      <c r="T252">
        <v>2730000</v>
      </c>
    </row>
    <row r="253" spans="1:20" x14ac:dyDescent="0.25">
      <c r="A253" t="s">
        <v>67</v>
      </c>
      <c r="B253" t="s">
        <v>68</v>
      </c>
      <c r="C253" t="s">
        <v>69</v>
      </c>
      <c r="D253" t="s">
        <v>102</v>
      </c>
      <c r="E253" t="s">
        <v>103</v>
      </c>
      <c r="F253" t="s">
        <v>25</v>
      </c>
      <c r="G253" t="s">
        <v>26</v>
      </c>
      <c r="H253">
        <v>148</v>
      </c>
      <c r="I253">
        <v>1350.41</v>
      </c>
      <c r="J253">
        <v>245.59</v>
      </c>
      <c r="K253">
        <v>18.190000000000001</v>
      </c>
      <c r="L253">
        <v>187.02</v>
      </c>
      <c r="M253">
        <v>13.85</v>
      </c>
      <c r="N253">
        <v>1.61</v>
      </c>
      <c r="O253">
        <v>52.9</v>
      </c>
      <c r="P253">
        <v>0</v>
      </c>
      <c r="Q253">
        <v>78.33</v>
      </c>
      <c r="R253">
        <v>89.96</v>
      </c>
      <c r="S253">
        <v>30000</v>
      </c>
      <c r="T253">
        <v>2730000</v>
      </c>
    </row>
    <row r="254" spans="1:20" x14ac:dyDescent="0.25">
      <c r="A254" t="s">
        <v>70</v>
      </c>
      <c r="B254" t="s">
        <v>71</v>
      </c>
      <c r="C254" t="s">
        <v>69</v>
      </c>
      <c r="D254" t="s">
        <v>102</v>
      </c>
      <c r="E254" t="s">
        <v>103</v>
      </c>
      <c r="F254" t="s">
        <v>25</v>
      </c>
      <c r="G254" t="s">
        <v>26</v>
      </c>
      <c r="H254">
        <v>148</v>
      </c>
      <c r="I254">
        <v>1372.52</v>
      </c>
      <c r="J254">
        <v>270.32</v>
      </c>
      <c r="K254">
        <v>19.7</v>
      </c>
      <c r="L254">
        <v>136.71</v>
      </c>
      <c r="M254">
        <v>9.9600000000000009</v>
      </c>
      <c r="N254">
        <v>1.44</v>
      </c>
      <c r="O254">
        <v>30.7</v>
      </c>
      <c r="P254">
        <v>8.32</v>
      </c>
      <c r="Q254">
        <v>84.61</v>
      </c>
      <c r="R254">
        <v>99.02</v>
      </c>
      <c r="S254">
        <v>30000</v>
      </c>
      <c r="T254">
        <v>2730000</v>
      </c>
    </row>
    <row r="255" spans="1:20" x14ac:dyDescent="0.25">
      <c r="A255" t="s">
        <v>72</v>
      </c>
      <c r="B255" t="s">
        <v>73</v>
      </c>
      <c r="C255" t="s">
        <v>69</v>
      </c>
      <c r="D255" t="s">
        <v>102</v>
      </c>
      <c r="E255" t="s">
        <v>103</v>
      </c>
      <c r="F255" t="s">
        <v>25</v>
      </c>
      <c r="G255" t="s">
        <v>26</v>
      </c>
      <c r="H255">
        <v>148</v>
      </c>
      <c r="I255">
        <v>1259.0899999999999</v>
      </c>
      <c r="J255">
        <v>277.86</v>
      </c>
      <c r="K255">
        <v>22.07</v>
      </c>
      <c r="L255">
        <v>121.68</v>
      </c>
      <c r="M255">
        <v>9.66</v>
      </c>
      <c r="N255">
        <v>1.26</v>
      </c>
      <c r="O255">
        <v>12.3</v>
      </c>
      <c r="P255">
        <v>4.47</v>
      </c>
      <c r="Q255">
        <v>84.06</v>
      </c>
      <c r="R255">
        <v>101.78</v>
      </c>
      <c r="S255">
        <v>30000</v>
      </c>
      <c r="T255">
        <v>2730000</v>
      </c>
    </row>
    <row r="256" spans="1:20" x14ac:dyDescent="0.25">
      <c r="A256" t="s">
        <v>74</v>
      </c>
      <c r="B256" t="s">
        <v>75</v>
      </c>
      <c r="C256" t="s">
        <v>69</v>
      </c>
      <c r="D256" t="s">
        <v>102</v>
      </c>
      <c r="E256" t="s">
        <v>103</v>
      </c>
      <c r="F256" t="s">
        <v>25</v>
      </c>
      <c r="G256" t="s">
        <v>26</v>
      </c>
      <c r="H256">
        <v>148</v>
      </c>
      <c r="I256">
        <v>1355.38</v>
      </c>
      <c r="J256">
        <v>256.57</v>
      </c>
      <c r="K256">
        <v>18.93</v>
      </c>
      <c r="L256">
        <v>91.74</v>
      </c>
      <c r="M256">
        <v>6.77</v>
      </c>
      <c r="N256">
        <v>1.47</v>
      </c>
      <c r="O256">
        <v>54.1</v>
      </c>
      <c r="P256">
        <v>6.14</v>
      </c>
      <c r="Q256">
        <v>80.400000000000006</v>
      </c>
      <c r="R256">
        <v>93.98</v>
      </c>
      <c r="S256">
        <v>30000</v>
      </c>
      <c r="T256">
        <v>2730000</v>
      </c>
    </row>
    <row r="257" spans="1:20" x14ac:dyDescent="0.25">
      <c r="A257" t="s">
        <v>76</v>
      </c>
      <c r="B257" t="s">
        <v>77</v>
      </c>
      <c r="C257" t="s">
        <v>69</v>
      </c>
      <c r="D257" t="s">
        <v>102</v>
      </c>
      <c r="E257" t="s">
        <v>103</v>
      </c>
      <c r="F257" t="s">
        <v>25</v>
      </c>
      <c r="G257" t="s">
        <v>26</v>
      </c>
      <c r="H257">
        <v>148</v>
      </c>
      <c r="I257">
        <v>1242.53</v>
      </c>
      <c r="J257">
        <v>307.18</v>
      </c>
      <c r="K257">
        <v>24.72</v>
      </c>
      <c r="L257">
        <v>52.53</v>
      </c>
      <c r="M257">
        <v>4.2300000000000004</v>
      </c>
      <c r="N257">
        <v>1.3</v>
      </c>
      <c r="O257">
        <v>44.5</v>
      </c>
      <c r="P257">
        <v>34.200000000000003</v>
      </c>
      <c r="Q257">
        <v>94.78</v>
      </c>
      <c r="R257">
        <v>112.52</v>
      </c>
      <c r="S257">
        <v>30000</v>
      </c>
      <c r="T257">
        <v>2730000</v>
      </c>
    </row>
    <row r="258" spans="1:20" x14ac:dyDescent="0.25">
      <c r="A258" t="s">
        <v>78</v>
      </c>
      <c r="B258" t="s">
        <v>79</v>
      </c>
      <c r="C258" t="s">
        <v>80</v>
      </c>
      <c r="D258" t="s">
        <v>102</v>
      </c>
      <c r="E258" t="s">
        <v>103</v>
      </c>
      <c r="F258" t="s">
        <v>25</v>
      </c>
      <c r="G258" t="s">
        <v>26</v>
      </c>
      <c r="H258">
        <v>148</v>
      </c>
      <c r="I258">
        <v>1274.9000000000001</v>
      </c>
      <c r="J258">
        <v>277.2</v>
      </c>
      <c r="K258">
        <v>21.74</v>
      </c>
      <c r="L258">
        <v>161.11000000000001</v>
      </c>
      <c r="M258">
        <v>12.64</v>
      </c>
      <c r="N258">
        <v>1.37</v>
      </c>
      <c r="O258">
        <v>18.399999999999999</v>
      </c>
      <c r="P258">
        <v>6.54</v>
      </c>
      <c r="Q258">
        <v>85.13</v>
      </c>
      <c r="R258">
        <v>101.54</v>
      </c>
      <c r="S258">
        <v>30000</v>
      </c>
      <c r="T258">
        <v>2730000</v>
      </c>
    </row>
    <row r="259" spans="1:20" x14ac:dyDescent="0.25">
      <c r="A259" t="s">
        <v>81</v>
      </c>
      <c r="B259" t="s">
        <v>82</v>
      </c>
      <c r="C259" t="s">
        <v>80</v>
      </c>
      <c r="D259" t="s">
        <v>102</v>
      </c>
      <c r="E259" t="s">
        <v>103</v>
      </c>
      <c r="F259" t="s">
        <v>25</v>
      </c>
      <c r="G259" t="s">
        <v>26</v>
      </c>
      <c r="H259">
        <v>148</v>
      </c>
      <c r="I259">
        <v>1274.3599999999999</v>
      </c>
      <c r="J259">
        <v>328.77</v>
      </c>
      <c r="K259">
        <v>25.8</v>
      </c>
      <c r="L259">
        <v>124.12</v>
      </c>
      <c r="M259">
        <v>9.74</v>
      </c>
      <c r="N259">
        <v>1.51</v>
      </c>
      <c r="O259">
        <v>26.4</v>
      </c>
      <c r="P259">
        <v>29.35</v>
      </c>
      <c r="Q259">
        <v>101.77</v>
      </c>
      <c r="R259">
        <v>120.43</v>
      </c>
      <c r="S259">
        <v>30000</v>
      </c>
      <c r="T259">
        <v>2730000</v>
      </c>
    </row>
    <row r="260" spans="1:20" x14ac:dyDescent="0.25">
      <c r="A260" t="s">
        <v>83</v>
      </c>
      <c r="B260" t="s">
        <v>84</v>
      </c>
      <c r="C260" t="s">
        <v>80</v>
      </c>
      <c r="D260" t="s">
        <v>102</v>
      </c>
      <c r="E260" t="s">
        <v>103</v>
      </c>
      <c r="F260" t="s">
        <v>25</v>
      </c>
      <c r="G260" t="s">
        <v>26</v>
      </c>
      <c r="H260">
        <v>148</v>
      </c>
      <c r="I260">
        <v>1277.68</v>
      </c>
      <c r="J260">
        <v>306.36</v>
      </c>
      <c r="K260">
        <v>23.98</v>
      </c>
      <c r="L260">
        <v>104.88</v>
      </c>
      <c r="M260">
        <v>8.2100000000000009</v>
      </c>
      <c r="N260">
        <v>1.53</v>
      </c>
      <c r="O260">
        <v>21.7</v>
      </c>
      <c r="P260">
        <v>16.41</v>
      </c>
      <c r="Q260">
        <v>93.24</v>
      </c>
      <c r="R260">
        <v>112.22</v>
      </c>
      <c r="S260">
        <v>30000</v>
      </c>
      <c r="T260">
        <v>2730000</v>
      </c>
    </row>
    <row r="261" spans="1:20" x14ac:dyDescent="0.25">
      <c r="A261" t="s">
        <v>85</v>
      </c>
      <c r="B261" t="s">
        <v>86</v>
      </c>
      <c r="C261" t="s">
        <v>80</v>
      </c>
      <c r="D261" t="s">
        <v>102</v>
      </c>
      <c r="E261" t="s">
        <v>103</v>
      </c>
      <c r="F261" t="s">
        <v>25</v>
      </c>
      <c r="G261" t="s">
        <v>26</v>
      </c>
      <c r="H261">
        <v>148</v>
      </c>
      <c r="I261">
        <v>1345.82</v>
      </c>
      <c r="J261">
        <v>304.86</v>
      </c>
      <c r="K261">
        <v>22.65</v>
      </c>
      <c r="L261">
        <v>98.21</v>
      </c>
      <c r="M261">
        <v>7.3</v>
      </c>
      <c r="N261">
        <v>1.54</v>
      </c>
      <c r="O261">
        <v>57.3</v>
      </c>
      <c r="P261">
        <v>42.06</v>
      </c>
      <c r="Q261">
        <v>99.34</v>
      </c>
      <c r="R261">
        <v>111.67</v>
      </c>
      <c r="S261">
        <v>30000</v>
      </c>
      <c r="T261">
        <v>2730000</v>
      </c>
    </row>
    <row r="262" spans="1:20" x14ac:dyDescent="0.25">
      <c r="A262" t="s">
        <v>87</v>
      </c>
      <c r="B262" t="s">
        <v>88</v>
      </c>
      <c r="C262" t="s">
        <v>89</v>
      </c>
      <c r="D262" t="s">
        <v>102</v>
      </c>
      <c r="E262" t="s">
        <v>103</v>
      </c>
      <c r="F262" t="s">
        <v>25</v>
      </c>
      <c r="G262" t="s">
        <v>26</v>
      </c>
      <c r="H262">
        <v>148</v>
      </c>
      <c r="I262">
        <v>844.53</v>
      </c>
      <c r="J262">
        <v>400.76</v>
      </c>
      <c r="K262">
        <v>47.45</v>
      </c>
      <c r="L262">
        <v>-51.1</v>
      </c>
      <c r="M262">
        <v>-6.05</v>
      </c>
      <c r="N262">
        <v>0.95</v>
      </c>
      <c r="O262">
        <v>63.4</v>
      </c>
      <c r="P262">
        <v>160.36000000000001</v>
      </c>
      <c r="Q262">
        <v>130.88</v>
      </c>
      <c r="R262">
        <v>146.80000000000001</v>
      </c>
      <c r="S262">
        <v>30000</v>
      </c>
      <c r="T262">
        <v>2730000</v>
      </c>
    </row>
    <row r="263" spans="1:20" x14ac:dyDescent="0.25">
      <c r="A263" t="s">
        <v>20</v>
      </c>
      <c r="B263" t="s">
        <v>21</v>
      </c>
      <c r="C263" t="s">
        <v>22</v>
      </c>
      <c r="D263" t="s">
        <v>104</v>
      </c>
      <c r="E263" t="s">
        <v>103</v>
      </c>
      <c r="F263" t="s">
        <v>25</v>
      </c>
      <c r="G263" t="s">
        <v>94</v>
      </c>
      <c r="H263">
        <v>43</v>
      </c>
      <c r="I263">
        <v>234.92</v>
      </c>
      <c r="J263">
        <v>54.29</v>
      </c>
      <c r="K263">
        <v>23.11</v>
      </c>
      <c r="L263">
        <v>24.73</v>
      </c>
      <c r="M263">
        <v>10.53</v>
      </c>
      <c r="N263">
        <v>0.46</v>
      </c>
      <c r="O263">
        <v>5.4</v>
      </c>
      <c r="P263">
        <v>0</v>
      </c>
      <c r="Q263">
        <v>63</v>
      </c>
      <c r="R263">
        <v>74.58</v>
      </c>
      <c r="S263">
        <v>8000</v>
      </c>
      <c r="T263">
        <v>728000</v>
      </c>
    </row>
    <row r="264" spans="1:20" x14ac:dyDescent="0.25">
      <c r="A264" t="s">
        <v>27</v>
      </c>
      <c r="B264" t="s">
        <v>28</v>
      </c>
      <c r="C264" t="s">
        <v>22</v>
      </c>
      <c r="D264" t="s">
        <v>104</v>
      </c>
      <c r="E264" t="s">
        <v>103</v>
      </c>
      <c r="F264" t="s">
        <v>25</v>
      </c>
      <c r="G264" t="s">
        <v>94</v>
      </c>
      <c r="H264">
        <v>43</v>
      </c>
      <c r="I264">
        <v>221.27</v>
      </c>
      <c r="J264">
        <v>53.39</v>
      </c>
      <c r="K264">
        <v>24.13</v>
      </c>
      <c r="L264">
        <v>13.63</v>
      </c>
      <c r="M264">
        <v>6.16</v>
      </c>
      <c r="N264">
        <v>0.38</v>
      </c>
      <c r="O264">
        <v>37.799999999999997</v>
      </c>
      <c r="P264">
        <v>0</v>
      </c>
      <c r="Q264">
        <v>64.790000000000006</v>
      </c>
      <c r="R264">
        <v>73.34</v>
      </c>
      <c r="S264">
        <v>8000</v>
      </c>
      <c r="T264">
        <v>728000</v>
      </c>
    </row>
    <row r="265" spans="1:20" x14ac:dyDescent="0.25">
      <c r="A265" t="s">
        <v>29</v>
      </c>
      <c r="B265" t="s">
        <v>30</v>
      </c>
      <c r="C265" t="s">
        <v>22</v>
      </c>
      <c r="D265" t="s">
        <v>104</v>
      </c>
      <c r="E265" t="s">
        <v>103</v>
      </c>
      <c r="F265" t="s">
        <v>25</v>
      </c>
      <c r="G265" t="s">
        <v>94</v>
      </c>
      <c r="H265">
        <v>43</v>
      </c>
      <c r="I265">
        <v>217.58</v>
      </c>
      <c r="J265">
        <v>51.77</v>
      </c>
      <c r="K265">
        <v>23.79</v>
      </c>
      <c r="L265">
        <v>14.42</v>
      </c>
      <c r="M265">
        <v>6.63</v>
      </c>
      <c r="N265">
        <v>0.39</v>
      </c>
      <c r="O265">
        <v>26.9</v>
      </c>
      <c r="P265">
        <v>0</v>
      </c>
      <c r="Q265">
        <v>60.46</v>
      </c>
      <c r="R265">
        <v>71.11</v>
      </c>
      <c r="S265">
        <v>8000</v>
      </c>
      <c r="T265">
        <v>728000</v>
      </c>
    </row>
    <row r="266" spans="1:20" x14ac:dyDescent="0.25">
      <c r="A266" t="s">
        <v>31</v>
      </c>
      <c r="B266" t="s">
        <v>32</v>
      </c>
      <c r="C266" t="s">
        <v>22</v>
      </c>
      <c r="D266" t="s">
        <v>104</v>
      </c>
      <c r="E266" t="s">
        <v>103</v>
      </c>
      <c r="F266" t="s">
        <v>25</v>
      </c>
      <c r="G266" t="s">
        <v>94</v>
      </c>
      <c r="H266">
        <v>43</v>
      </c>
      <c r="I266">
        <v>236.2</v>
      </c>
      <c r="J266">
        <v>56.03</v>
      </c>
      <c r="K266">
        <v>23.72</v>
      </c>
      <c r="L266">
        <v>23.73</v>
      </c>
      <c r="M266">
        <v>10.050000000000001</v>
      </c>
      <c r="N266">
        <v>0.46</v>
      </c>
      <c r="O266">
        <v>19.100000000000001</v>
      </c>
      <c r="P266">
        <v>0</v>
      </c>
      <c r="Q266">
        <v>65.66</v>
      </c>
      <c r="R266">
        <v>76.97</v>
      </c>
      <c r="S266">
        <v>8000</v>
      </c>
      <c r="T266">
        <v>728000</v>
      </c>
    </row>
    <row r="267" spans="1:20" x14ac:dyDescent="0.25">
      <c r="A267" t="s">
        <v>33</v>
      </c>
      <c r="B267" t="s">
        <v>34</v>
      </c>
      <c r="C267" t="s">
        <v>22</v>
      </c>
      <c r="D267" t="s">
        <v>104</v>
      </c>
      <c r="E267" t="s">
        <v>103</v>
      </c>
      <c r="F267" t="s">
        <v>25</v>
      </c>
      <c r="G267" t="s">
        <v>94</v>
      </c>
      <c r="H267">
        <v>43</v>
      </c>
      <c r="I267">
        <v>242.88</v>
      </c>
      <c r="J267">
        <v>54.88</v>
      </c>
      <c r="K267">
        <v>22.59</v>
      </c>
      <c r="L267">
        <v>13.85</v>
      </c>
      <c r="M267">
        <v>5.7</v>
      </c>
      <c r="N267">
        <v>0.44</v>
      </c>
      <c r="O267">
        <v>34.1</v>
      </c>
      <c r="P267">
        <v>0</v>
      </c>
      <c r="Q267">
        <v>66.66</v>
      </c>
      <c r="R267">
        <v>75.38</v>
      </c>
      <c r="S267">
        <v>8000</v>
      </c>
      <c r="T267">
        <v>728000</v>
      </c>
    </row>
    <row r="268" spans="1:20" x14ac:dyDescent="0.25">
      <c r="A268" t="s">
        <v>35</v>
      </c>
      <c r="B268" t="s">
        <v>36</v>
      </c>
      <c r="C268" t="s">
        <v>37</v>
      </c>
      <c r="D268" t="s">
        <v>104</v>
      </c>
      <c r="E268" t="s">
        <v>103</v>
      </c>
      <c r="F268" t="s">
        <v>25</v>
      </c>
      <c r="G268" t="s">
        <v>94</v>
      </c>
      <c r="H268">
        <v>43</v>
      </c>
      <c r="I268">
        <v>44.85</v>
      </c>
      <c r="J268">
        <v>17.25</v>
      </c>
      <c r="K268">
        <v>38.450000000000003</v>
      </c>
      <c r="L268">
        <v>-11.76</v>
      </c>
      <c r="M268">
        <v>-26.23</v>
      </c>
      <c r="N268">
        <v>0.08</v>
      </c>
      <c r="O268">
        <v>11.2</v>
      </c>
      <c r="P268">
        <v>0</v>
      </c>
      <c r="Q268">
        <v>20.57</v>
      </c>
      <c r="R268">
        <v>23.69</v>
      </c>
      <c r="S268">
        <v>8000</v>
      </c>
      <c r="T268">
        <v>728000</v>
      </c>
    </row>
    <row r="269" spans="1:20" x14ac:dyDescent="0.25">
      <c r="A269" t="s">
        <v>38</v>
      </c>
      <c r="B269" t="s">
        <v>39</v>
      </c>
      <c r="C269" t="s">
        <v>37</v>
      </c>
      <c r="D269" t="s">
        <v>104</v>
      </c>
      <c r="E269" t="s">
        <v>103</v>
      </c>
      <c r="F269" t="s">
        <v>25</v>
      </c>
      <c r="G269" t="s">
        <v>94</v>
      </c>
      <c r="H269">
        <v>43</v>
      </c>
      <c r="I269">
        <v>51.9</v>
      </c>
      <c r="J269">
        <v>36.71</v>
      </c>
      <c r="K269">
        <v>70.739999999999995</v>
      </c>
      <c r="L269">
        <v>-13.17</v>
      </c>
      <c r="M269">
        <v>-25.38</v>
      </c>
      <c r="N269">
        <v>0.09</v>
      </c>
      <c r="O269">
        <v>23.1</v>
      </c>
      <c r="P269">
        <v>0</v>
      </c>
      <c r="Q269">
        <v>44.05</v>
      </c>
      <c r="R269">
        <v>50.43</v>
      </c>
      <c r="S269">
        <v>8000</v>
      </c>
      <c r="T269">
        <v>728000</v>
      </c>
    </row>
    <row r="270" spans="1:20" x14ac:dyDescent="0.25">
      <c r="A270" t="s">
        <v>40</v>
      </c>
      <c r="B270" t="s">
        <v>41</v>
      </c>
      <c r="C270" t="s">
        <v>37</v>
      </c>
      <c r="D270" t="s">
        <v>104</v>
      </c>
      <c r="E270" t="s">
        <v>103</v>
      </c>
      <c r="F270" t="s">
        <v>25</v>
      </c>
      <c r="G270" t="s">
        <v>94</v>
      </c>
      <c r="H270">
        <v>43</v>
      </c>
      <c r="I270">
        <v>67.11</v>
      </c>
      <c r="J270">
        <v>33.24</v>
      </c>
      <c r="K270">
        <v>49.53</v>
      </c>
      <c r="L270">
        <v>-17.59</v>
      </c>
      <c r="M270">
        <v>-26.21</v>
      </c>
      <c r="N270">
        <v>0.12</v>
      </c>
      <c r="O270">
        <v>21.3</v>
      </c>
      <c r="P270">
        <v>0</v>
      </c>
      <c r="Q270">
        <v>39.950000000000003</v>
      </c>
      <c r="R270">
        <v>45.66</v>
      </c>
      <c r="S270">
        <v>8000</v>
      </c>
      <c r="T270">
        <v>728000</v>
      </c>
    </row>
    <row r="271" spans="1:20" x14ac:dyDescent="0.25">
      <c r="A271" t="s">
        <v>42</v>
      </c>
      <c r="B271" t="s">
        <v>43</v>
      </c>
      <c r="C271" t="s">
        <v>37</v>
      </c>
      <c r="D271" t="s">
        <v>104</v>
      </c>
      <c r="E271" t="s">
        <v>103</v>
      </c>
      <c r="F271" t="s">
        <v>25</v>
      </c>
      <c r="G271" t="s">
        <v>94</v>
      </c>
      <c r="H271">
        <v>43</v>
      </c>
      <c r="I271">
        <v>72.3</v>
      </c>
      <c r="J271">
        <v>62.44</v>
      </c>
      <c r="K271">
        <v>86.36</v>
      </c>
      <c r="L271">
        <v>-28.77</v>
      </c>
      <c r="M271">
        <v>-39.79</v>
      </c>
      <c r="N271">
        <v>0.15</v>
      </c>
      <c r="O271">
        <v>19.7</v>
      </c>
      <c r="P271">
        <v>0</v>
      </c>
      <c r="Q271">
        <v>75.489999999999995</v>
      </c>
      <c r="R271">
        <v>85.77</v>
      </c>
      <c r="S271">
        <v>8000</v>
      </c>
      <c r="T271">
        <v>728000</v>
      </c>
    </row>
    <row r="272" spans="1:20" x14ac:dyDescent="0.25">
      <c r="A272" t="s">
        <v>44</v>
      </c>
      <c r="B272" t="s">
        <v>45</v>
      </c>
      <c r="C272" t="s">
        <v>37</v>
      </c>
      <c r="D272" t="s">
        <v>104</v>
      </c>
      <c r="E272" t="s">
        <v>103</v>
      </c>
      <c r="F272" t="s">
        <v>25</v>
      </c>
      <c r="G272" t="s">
        <v>94</v>
      </c>
      <c r="H272">
        <v>43</v>
      </c>
      <c r="I272">
        <v>46.15</v>
      </c>
      <c r="J272">
        <v>66.19</v>
      </c>
      <c r="K272">
        <v>143.44</v>
      </c>
      <c r="L272">
        <v>-20.74</v>
      </c>
      <c r="M272">
        <v>-44.94</v>
      </c>
      <c r="N272">
        <v>0.08</v>
      </c>
      <c r="O272">
        <v>31.5</v>
      </c>
      <c r="P272">
        <v>0.21</v>
      </c>
      <c r="Q272">
        <v>76.83</v>
      </c>
      <c r="R272">
        <v>90.92</v>
      </c>
      <c r="S272">
        <v>8000</v>
      </c>
      <c r="T272">
        <v>728000</v>
      </c>
    </row>
    <row r="273" spans="1:20" x14ac:dyDescent="0.25">
      <c r="A273" t="s">
        <v>46</v>
      </c>
      <c r="B273" t="s">
        <v>47</v>
      </c>
      <c r="C273" t="s">
        <v>48</v>
      </c>
      <c r="D273" t="s">
        <v>104</v>
      </c>
      <c r="E273" t="s">
        <v>103</v>
      </c>
      <c r="F273" t="s">
        <v>25</v>
      </c>
      <c r="G273" t="s">
        <v>94</v>
      </c>
      <c r="H273">
        <v>43</v>
      </c>
      <c r="I273">
        <v>175.47</v>
      </c>
      <c r="J273">
        <v>65.459999999999994</v>
      </c>
      <c r="K273">
        <v>37.31</v>
      </c>
      <c r="L273">
        <v>-3.15</v>
      </c>
      <c r="M273">
        <v>-1.8</v>
      </c>
      <c r="N273">
        <v>0.35</v>
      </c>
      <c r="O273">
        <v>34.200000000000003</v>
      </c>
      <c r="P273">
        <v>0</v>
      </c>
      <c r="Q273">
        <v>78.97</v>
      </c>
      <c r="R273">
        <v>89.92</v>
      </c>
      <c r="S273">
        <v>8000</v>
      </c>
      <c r="T273">
        <v>728000</v>
      </c>
    </row>
    <row r="274" spans="1:20" x14ac:dyDescent="0.25">
      <c r="A274" t="s">
        <v>49</v>
      </c>
      <c r="B274" t="s">
        <v>50</v>
      </c>
      <c r="C274" t="s">
        <v>48</v>
      </c>
      <c r="D274" t="s">
        <v>104</v>
      </c>
      <c r="E274" t="s">
        <v>103</v>
      </c>
      <c r="F274" t="s">
        <v>25</v>
      </c>
      <c r="G274" t="s">
        <v>94</v>
      </c>
      <c r="H274">
        <v>43</v>
      </c>
      <c r="I274">
        <v>158.37</v>
      </c>
      <c r="J274">
        <v>75.89</v>
      </c>
      <c r="K274">
        <v>47.92</v>
      </c>
      <c r="L274">
        <v>-1.1200000000000001</v>
      </c>
      <c r="M274">
        <v>-0.71</v>
      </c>
      <c r="N274">
        <v>0.28000000000000003</v>
      </c>
      <c r="O274">
        <v>27.5</v>
      </c>
      <c r="P274">
        <v>3.3</v>
      </c>
      <c r="Q274">
        <v>86.82</v>
      </c>
      <c r="R274">
        <v>104.25</v>
      </c>
      <c r="S274">
        <v>8000</v>
      </c>
      <c r="T274">
        <v>728000</v>
      </c>
    </row>
    <row r="275" spans="1:20" x14ac:dyDescent="0.25">
      <c r="A275" t="s">
        <v>51</v>
      </c>
      <c r="B275" t="s">
        <v>52</v>
      </c>
      <c r="C275" t="s">
        <v>48</v>
      </c>
      <c r="D275" t="s">
        <v>104</v>
      </c>
      <c r="E275" t="s">
        <v>103</v>
      </c>
      <c r="F275" t="s">
        <v>25</v>
      </c>
      <c r="G275" t="s">
        <v>94</v>
      </c>
      <c r="H275">
        <v>43</v>
      </c>
      <c r="I275">
        <v>177.8</v>
      </c>
      <c r="J275">
        <v>59.29</v>
      </c>
      <c r="K275">
        <v>33.35</v>
      </c>
      <c r="L275">
        <v>0.26</v>
      </c>
      <c r="M275">
        <v>0.15</v>
      </c>
      <c r="N275">
        <v>0.35</v>
      </c>
      <c r="O275">
        <v>39.700000000000003</v>
      </c>
      <c r="P275">
        <v>0</v>
      </c>
      <c r="Q275">
        <v>72.010000000000005</v>
      </c>
      <c r="R275">
        <v>81.44</v>
      </c>
      <c r="S275">
        <v>8000</v>
      </c>
      <c r="T275">
        <v>728000</v>
      </c>
    </row>
    <row r="276" spans="1:20" x14ac:dyDescent="0.25">
      <c r="A276" t="s">
        <v>53</v>
      </c>
      <c r="B276" t="s">
        <v>54</v>
      </c>
      <c r="C276" t="s">
        <v>55</v>
      </c>
      <c r="D276" t="s">
        <v>104</v>
      </c>
      <c r="E276" t="s">
        <v>103</v>
      </c>
      <c r="F276" t="s">
        <v>25</v>
      </c>
      <c r="G276" t="s">
        <v>94</v>
      </c>
      <c r="H276">
        <v>43</v>
      </c>
      <c r="I276">
        <v>230.04</v>
      </c>
      <c r="J276">
        <v>95.83</v>
      </c>
      <c r="K276">
        <v>41.66</v>
      </c>
      <c r="L276">
        <v>16.55</v>
      </c>
      <c r="M276">
        <v>7.19</v>
      </c>
      <c r="N276">
        <v>0.42</v>
      </c>
      <c r="O276">
        <v>5.4</v>
      </c>
      <c r="P276">
        <v>2.39</v>
      </c>
      <c r="Q276">
        <v>109.53</v>
      </c>
      <c r="R276">
        <v>131.63</v>
      </c>
      <c r="S276">
        <v>8000</v>
      </c>
      <c r="T276">
        <v>728000</v>
      </c>
    </row>
    <row r="277" spans="1:20" x14ac:dyDescent="0.25">
      <c r="A277" t="s">
        <v>56</v>
      </c>
      <c r="B277" t="s">
        <v>57</v>
      </c>
      <c r="C277" t="s">
        <v>55</v>
      </c>
      <c r="D277" t="s">
        <v>104</v>
      </c>
      <c r="E277" t="s">
        <v>103</v>
      </c>
      <c r="F277" t="s">
        <v>25</v>
      </c>
      <c r="G277" t="s">
        <v>94</v>
      </c>
      <c r="H277">
        <v>43</v>
      </c>
      <c r="I277">
        <v>245.43</v>
      </c>
      <c r="J277">
        <v>68.790000000000006</v>
      </c>
      <c r="K277">
        <v>28.03</v>
      </c>
      <c r="L277">
        <v>20.07</v>
      </c>
      <c r="M277">
        <v>8.18</v>
      </c>
      <c r="N277">
        <v>0.47</v>
      </c>
      <c r="O277">
        <v>6</v>
      </c>
      <c r="P277">
        <v>0.21</v>
      </c>
      <c r="Q277">
        <v>80.69</v>
      </c>
      <c r="R277">
        <v>94.49</v>
      </c>
      <c r="S277">
        <v>8000</v>
      </c>
      <c r="T277">
        <v>728000</v>
      </c>
    </row>
    <row r="278" spans="1:20" x14ac:dyDescent="0.25">
      <c r="A278" t="s">
        <v>58</v>
      </c>
      <c r="B278" t="s">
        <v>59</v>
      </c>
      <c r="C278" t="s">
        <v>55</v>
      </c>
      <c r="D278" t="s">
        <v>104</v>
      </c>
      <c r="E278" t="s">
        <v>103</v>
      </c>
      <c r="F278" t="s">
        <v>25</v>
      </c>
      <c r="G278" t="s">
        <v>94</v>
      </c>
      <c r="H278">
        <v>43</v>
      </c>
      <c r="I278">
        <v>236.66</v>
      </c>
      <c r="J278">
        <v>76.849999999999994</v>
      </c>
      <c r="K278">
        <v>32.47</v>
      </c>
      <c r="L278">
        <v>17.420000000000002</v>
      </c>
      <c r="M278">
        <v>7.36</v>
      </c>
      <c r="N278">
        <v>0.44</v>
      </c>
      <c r="O278">
        <v>26.8</v>
      </c>
      <c r="P278">
        <v>3.56</v>
      </c>
      <c r="Q278">
        <v>93.25</v>
      </c>
      <c r="R278">
        <v>105.56</v>
      </c>
      <c r="S278">
        <v>8000</v>
      </c>
      <c r="T278">
        <v>728000</v>
      </c>
    </row>
    <row r="279" spans="1:20" x14ac:dyDescent="0.25">
      <c r="A279" t="s">
        <v>60</v>
      </c>
      <c r="B279" t="s">
        <v>61</v>
      </c>
      <c r="C279" t="s">
        <v>62</v>
      </c>
      <c r="D279" t="s">
        <v>104</v>
      </c>
      <c r="E279" t="s">
        <v>103</v>
      </c>
      <c r="F279" t="s">
        <v>25</v>
      </c>
      <c r="G279" t="s">
        <v>94</v>
      </c>
      <c r="H279">
        <v>43</v>
      </c>
      <c r="I279">
        <v>240.61</v>
      </c>
      <c r="J279">
        <v>70.709999999999994</v>
      </c>
      <c r="K279">
        <v>29.39</v>
      </c>
      <c r="L279">
        <v>9.7899999999999991</v>
      </c>
      <c r="M279">
        <v>4.07</v>
      </c>
      <c r="N279">
        <v>0.42</v>
      </c>
      <c r="O279">
        <v>36.299999999999997</v>
      </c>
      <c r="P279">
        <v>2.0299999999999998</v>
      </c>
      <c r="Q279">
        <v>84.29</v>
      </c>
      <c r="R279">
        <v>97.13</v>
      </c>
      <c r="S279">
        <v>8000</v>
      </c>
      <c r="T279">
        <v>728000</v>
      </c>
    </row>
    <row r="280" spans="1:20" x14ac:dyDescent="0.25">
      <c r="A280" t="s">
        <v>63</v>
      </c>
      <c r="B280" t="s">
        <v>64</v>
      </c>
      <c r="C280" t="s">
        <v>62</v>
      </c>
      <c r="D280" t="s">
        <v>104</v>
      </c>
      <c r="E280" t="s">
        <v>103</v>
      </c>
      <c r="F280" t="s">
        <v>25</v>
      </c>
      <c r="G280" t="s">
        <v>94</v>
      </c>
      <c r="H280">
        <v>43</v>
      </c>
      <c r="I280">
        <v>213.99</v>
      </c>
      <c r="J280">
        <v>74.23</v>
      </c>
      <c r="K280">
        <v>34.69</v>
      </c>
      <c r="L280">
        <v>27.9</v>
      </c>
      <c r="M280">
        <v>13.04</v>
      </c>
      <c r="N280">
        <v>0.36</v>
      </c>
      <c r="O280">
        <v>32.299999999999997</v>
      </c>
      <c r="P280">
        <v>3.19</v>
      </c>
      <c r="Q280">
        <v>88.18</v>
      </c>
      <c r="R280">
        <v>101.97</v>
      </c>
      <c r="S280">
        <v>8000</v>
      </c>
      <c r="T280">
        <v>728000</v>
      </c>
    </row>
    <row r="281" spans="1:20" x14ac:dyDescent="0.25">
      <c r="A281" t="s">
        <v>65</v>
      </c>
      <c r="B281" t="s">
        <v>66</v>
      </c>
      <c r="C281" t="s">
        <v>62</v>
      </c>
      <c r="D281" t="s">
        <v>104</v>
      </c>
      <c r="E281" t="s">
        <v>103</v>
      </c>
      <c r="F281" t="s">
        <v>25</v>
      </c>
      <c r="G281" t="s">
        <v>94</v>
      </c>
      <c r="H281">
        <v>43</v>
      </c>
      <c r="I281">
        <v>239.81</v>
      </c>
      <c r="J281">
        <v>70.989999999999995</v>
      </c>
      <c r="K281">
        <v>29.6</v>
      </c>
      <c r="L281">
        <v>24.28</v>
      </c>
      <c r="M281">
        <v>10.130000000000001</v>
      </c>
      <c r="N281">
        <v>0.46</v>
      </c>
      <c r="O281">
        <v>6.8</v>
      </c>
      <c r="P281">
        <v>0.4</v>
      </c>
      <c r="Q281">
        <v>85.16</v>
      </c>
      <c r="R281">
        <v>97.52</v>
      </c>
      <c r="S281">
        <v>8000</v>
      </c>
      <c r="T281">
        <v>728000</v>
      </c>
    </row>
    <row r="282" spans="1:20" x14ac:dyDescent="0.25">
      <c r="A282" t="s">
        <v>67</v>
      </c>
      <c r="B282" t="s">
        <v>68</v>
      </c>
      <c r="C282" t="s">
        <v>69</v>
      </c>
      <c r="D282" t="s">
        <v>104</v>
      </c>
      <c r="E282" t="s">
        <v>103</v>
      </c>
      <c r="F282" t="s">
        <v>25</v>
      </c>
      <c r="G282" t="s">
        <v>94</v>
      </c>
      <c r="H282">
        <v>43</v>
      </c>
      <c r="I282">
        <v>219.92</v>
      </c>
      <c r="J282">
        <v>65.489999999999995</v>
      </c>
      <c r="K282">
        <v>29.78</v>
      </c>
      <c r="L282">
        <v>28.58</v>
      </c>
      <c r="M282">
        <v>12.99</v>
      </c>
      <c r="N282">
        <v>0.43</v>
      </c>
      <c r="O282">
        <v>7.1</v>
      </c>
      <c r="P282">
        <v>0</v>
      </c>
      <c r="Q282">
        <v>78.33</v>
      </c>
      <c r="R282">
        <v>89.96</v>
      </c>
      <c r="S282">
        <v>8000</v>
      </c>
      <c r="T282">
        <v>728000</v>
      </c>
    </row>
    <row r="283" spans="1:20" x14ac:dyDescent="0.25">
      <c r="A283" t="s">
        <v>70</v>
      </c>
      <c r="B283" t="s">
        <v>71</v>
      </c>
      <c r="C283" t="s">
        <v>69</v>
      </c>
      <c r="D283" t="s">
        <v>104</v>
      </c>
      <c r="E283" t="s">
        <v>103</v>
      </c>
      <c r="F283" t="s">
        <v>25</v>
      </c>
      <c r="G283" t="s">
        <v>94</v>
      </c>
      <c r="H283">
        <v>43</v>
      </c>
      <c r="I283">
        <v>237.53</v>
      </c>
      <c r="J283">
        <v>72.09</v>
      </c>
      <c r="K283">
        <v>30.35</v>
      </c>
      <c r="L283">
        <v>19.559999999999999</v>
      </c>
      <c r="M283">
        <v>8.23</v>
      </c>
      <c r="N283">
        <v>0.45</v>
      </c>
      <c r="O283">
        <v>8.8000000000000007</v>
      </c>
      <c r="P283">
        <v>0.64</v>
      </c>
      <c r="Q283">
        <v>84.61</v>
      </c>
      <c r="R283">
        <v>99.02</v>
      </c>
      <c r="S283">
        <v>8000</v>
      </c>
      <c r="T283">
        <v>728000</v>
      </c>
    </row>
    <row r="284" spans="1:20" x14ac:dyDescent="0.25">
      <c r="A284" t="s">
        <v>72</v>
      </c>
      <c r="B284" t="s">
        <v>73</v>
      </c>
      <c r="C284" t="s">
        <v>69</v>
      </c>
      <c r="D284" t="s">
        <v>104</v>
      </c>
      <c r="E284" t="s">
        <v>103</v>
      </c>
      <c r="F284" t="s">
        <v>25</v>
      </c>
      <c r="G284" t="s">
        <v>94</v>
      </c>
      <c r="H284">
        <v>43</v>
      </c>
      <c r="I284">
        <v>225.41</v>
      </c>
      <c r="J284">
        <v>74.099999999999994</v>
      </c>
      <c r="K284">
        <v>32.869999999999997</v>
      </c>
      <c r="L284">
        <v>18.82</v>
      </c>
      <c r="M284">
        <v>8.35</v>
      </c>
      <c r="N284">
        <v>0.43</v>
      </c>
      <c r="O284">
        <v>28</v>
      </c>
      <c r="P284">
        <v>2.72</v>
      </c>
      <c r="Q284">
        <v>84.06</v>
      </c>
      <c r="R284">
        <v>101.78</v>
      </c>
      <c r="S284">
        <v>8000</v>
      </c>
      <c r="T284">
        <v>728000</v>
      </c>
    </row>
    <row r="285" spans="1:20" x14ac:dyDescent="0.25">
      <c r="A285" t="s">
        <v>74</v>
      </c>
      <c r="B285" t="s">
        <v>75</v>
      </c>
      <c r="C285" t="s">
        <v>69</v>
      </c>
      <c r="D285" t="s">
        <v>104</v>
      </c>
      <c r="E285" t="s">
        <v>103</v>
      </c>
      <c r="F285" t="s">
        <v>25</v>
      </c>
      <c r="G285" t="s">
        <v>94</v>
      </c>
      <c r="H285">
        <v>43</v>
      </c>
      <c r="I285">
        <v>229.8</v>
      </c>
      <c r="J285">
        <v>68.42</v>
      </c>
      <c r="K285">
        <v>29.77</v>
      </c>
      <c r="L285">
        <v>9.91</v>
      </c>
      <c r="M285">
        <v>4.3099999999999996</v>
      </c>
      <c r="N285">
        <v>0.4</v>
      </c>
      <c r="O285">
        <v>10.6</v>
      </c>
      <c r="P285">
        <v>0.32</v>
      </c>
      <c r="Q285">
        <v>80.400000000000006</v>
      </c>
      <c r="R285">
        <v>93.98</v>
      </c>
      <c r="S285">
        <v>8000</v>
      </c>
      <c r="T285">
        <v>728000</v>
      </c>
    </row>
    <row r="286" spans="1:20" x14ac:dyDescent="0.25">
      <c r="A286" t="s">
        <v>76</v>
      </c>
      <c r="B286" t="s">
        <v>77</v>
      </c>
      <c r="C286" t="s">
        <v>69</v>
      </c>
      <c r="D286" t="s">
        <v>104</v>
      </c>
      <c r="E286" t="s">
        <v>103</v>
      </c>
      <c r="F286" t="s">
        <v>25</v>
      </c>
      <c r="G286" t="s">
        <v>94</v>
      </c>
      <c r="H286">
        <v>43</v>
      </c>
      <c r="I286">
        <v>239.72</v>
      </c>
      <c r="J286">
        <v>81.91</v>
      </c>
      <c r="K286">
        <v>34.17</v>
      </c>
      <c r="L286">
        <v>31.2</v>
      </c>
      <c r="M286">
        <v>13.02</v>
      </c>
      <c r="N286">
        <v>0.47</v>
      </c>
      <c r="O286">
        <v>11.1</v>
      </c>
      <c r="P286">
        <v>2.2799999999999998</v>
      </c>
      <c r="Q286">
        <v>94.78</v>
      </c>
      <c r="R286">
        <v>112.52</v>
      </c>
      <c r="S286">
        <v>8000</v>
      </c>
      <c r="T286">
        <v>728000</v>
      </c>
    </row>
    <row r="287" spans="1:20" x14ac:dyDescent="0.25">
      <c r="A287" t="s">
        <v>78</v>
      </c>
      <c r="B287" t="s">
        <v>79</v>
      </c>
      <c r="C287" t="s">
        <v>80</v>
      </c>
      <c r="D287" t="s">
        <v>104</v>
      </c>
      <c r="E287" t="s">
        <v>103</v>
      </c>
      <c r="F287" t="s">
        <v>25</v>
      </c>
      <c r="G287" t="s">
        <v>94</v>
      </c>
      <c r="H287">
        <v>43</v>
      </c>
      <c r="I287">
        <v>238.32</v>
      </c>
      <c r="J287">
        <v>73.92</v>
      </c>
      <c r="K287">
        <v>31.02</v>
      </c>
      <c r="L287">
        <v>14</v>
      </c>
      <c r="M287">
        <v>5.88</v>
      </c>
      <c r="N287">
        <v>0.45</v>
      </c>
      <c r="O287">
        <v>30.7</v>
      </c>
      <c r="P287">
        <v>2.91</v>
      </c>
      <c r="Q287">
        <v>85.13</v>
      </c>
      <c r="R287">
        <v>101.54</v>
      </c>
      <c r="S287">
        <v>8000</v>
      </c>
      <c r="T287">
        <v>728000</v>
      </c>
    </row>
    <row r="288" spans="1:20" x14ac:dyDescent="0.25">
      <c r="A288" t="s">
        <v>81</v>
      </c>
      <c r="B288" t="s">
        <v>82</v>
      </c>
      <c r="C288" t="s">
        <v>80</v>
      </c>
      <c r="D288" t="s">
        <v>104</v>
      </c>
      <c r="E288" t="s">
        <v>103</v>
      </c>
      <c r="F288" t="s">
        <v>25</v>
      </c>
      <c r="G288" t="s">
        <v>94</v>
      </c>
      <c r="H288">
        <v>43</v>
      </c>
      <c r="I288">
        <v>215.26</v>
      </c>
      <c r="J288">
        <v>87.67</v>
      </c>
      <c r="K288">
        <v>40.729999999999997</v>
      </c>
      <c r="L288">
        <v>21.48</v>
      </c>
      <c r="M288">
        <v>9.98</v>
      </c>
      <c r="N288">
        <v>0.38</v>
      </c>
      <c r="O288">
        <v>22.4</v>
      </c>
      <c r="P288">
        <v>6.64</v>
      </c>
      <c r="Q288">
        <v>101.77</v>
      </c>
      <c r="R288">
        <v>120.43</v>
      </c>
      <c r="S288">
        <v>8000</v>
      </c>
      <c r="T288">
        <v>728000</v>
      </c>
    </row>
    <row r="289" spans="1:20" x14ac:dyDescent="0.25">
      <c r="A289" t="s">
        <v>83</v>
      </c>
      <c r="B289" t="s">
        <v>84</v>
      </c>
      <c r="C289" t="s">
        <v>80</v>
      </c>
      <c r="D289" t="s">
        <v>104</v>
      </c>
      <c r="E289" t="s">
        <v>103</v>
      </c>
      <c r="F289" t="s">
        <v>25</v>
      </c>
      <c r="G289" t="s">
        <v>94</v>
      </c>
      <c r="H289">
        <v>43</v>
      </c>
      <c r="I289">
        <v>224.98</v>
      </c>
      <c r="J289">
        <v>81.7</v>
      </c>
      <c r="K289">
        <v>36.31</v>
      </c>
      <c r="L289">
        <v>24.45</v>
      </c>
      <c r="M289">
        <v>10.87</v>
      </c>
      <c r="N289">
        <v>0.42</v>
      </c>
      <c r="O289">
        <v>15.6</v>
      </c>
      <c r="P289">
        <v>3.15</v>
      </c>
      <c r="Q289">
        <v>93.24</v>
      </c>
      <c r="R289">
        <v>112.22</v>
      </c>
      <c r="S289">
        <v>8000</v>
      </c>
      <c r="T289">
        <v>728000</v>
      </c>
    </row>
    <row r="290" spans="1:20" x14ac:dyDescent="0.25">
      <c r="A290" t="s">
        <v>85</v>
      </c>
      <c r="B290" t="s">
        <v>86</v>
      </c>
      <c r="C290" t="s">
        <v>80</v>
      </c>
      <c r="D290" t="s">
        <v>104</v>
      </c>
      <c r="E290" t="s">
        <v>103</v>
      </c>
      <c r="F290" t="s">
        <v>25</v>
      </c>
      <c r="G290" t="s">
        <v>94</v>
      </c>
      <c r="H290">
        <v>43</v>
      </c>
      <c r="I290">
        <v>240.38</v>
      </c>
      <c r="J290">
        <v>81.3</v>
      </c>
      <c r="K290">
        <v>33.82</v>
      </c>
      <c r="L290">
        <v>32.67</v>
      </c>
      <c r="M290">
        <v>13.59</v>
      </c>
      <c r="N290">
        <v>0.47</v>
      </c>
      <c r="O290">
        <v>25.3</v>
      </c>
      <c r="P290">
        <v>4.95</v>
      </c>
      <c r="Q290">
        <v>99.34</v>
      </c>
      <c r="R290">
        <v>111.67</v>
      </c>
      <c r="S290">
        <v>8000</v>
      </c>
      <c r="T290">
        <v>728000</v>
      </c>
    </row>
    <row r="291" spans="1:20" x14ac:dyDescent="0.25">
      <c r="A291" t="s">
        <v>87</v>
      </c>
      <c r="B291" t="s">
        <v>88</v>
      </c>
      <c r="C291" t="s">
        <v>89</v>
      </c>
      <c r="D291" t="s">
        <v>104</v>
      </c>
      <c r="E291" t="s">
        <v>103</v>
      </c>
      <c r="F291" t="s">
        <v>25</v>
      </c>
      <c r="G291" t="s">
        <v>94</v>
      </c>
      <c r="H291">
        <v>43</v>
      </c>
      <c r="I291">
        <v>162.25</v>
      </c>
      <c r="J291">
        <v>106.87</v>
      </c>
      <c r="K291">
        <v>65.87</v>
      </c>
      <c r="L291">
        <v>-21.04</v>
      </c>
      <c r="M291">
        <v>-12.97</v>
      </c>
      <c r="N291">
        <v>0.28000000000000003</v>
      </c>
      <c r="O291">
        <v>5.6</v>
      </c>
      <c r="P291">
        <v>3.78</v>
      </c>
      <c r="Q291">
        <v>130.88</v>
      </c>
      <c r="R291">
        <v>146.80000000000001</v>
      </c>
      <c r="S291">
        <v>8000</v>
      </c>
      <c r="T291">
        <v>728000</v>
      </c>
    </row>
    <row r="292" spans="1:20" x14ac:dyDescent="0.25">
      <c r="A292" t="s">
        <v>20</v>
      </c>
      <c r="B292" t="s">
        <v>21</v>
      </c>
      <c r="C292" t="s">
        <v>22</v>
      </c>
      <c r="D292" t="s">
        <v>105</v>
      </c>
      <c r="E292" t="s">
        <v>106</v>
      </c>
      <c r="F292" t="s">
        <v>107</v>
      </c>
      <c r="G292" t="s">
        <v>26</v>
      </c>
      <c r="H292">
        <v>147</v>
      </c>
      <c r="I292">
        <v>4281.91</v>
      </c>
      <c r="J292">
        <v>373.27</v>
      </c>
      <c r="K292">
        <v>8.7200000000000006</v>
      </c>
      <c r="L292">
        <v>493.48</v>
      </c>
      <c r="M292">
        <v>11.52</v>
      </c>
      <c r="N292">
        <v>1.62</v>
      </c>
      <c r="O292">
        <v>53.6</v>
      </c>
      <c r="P292">
        <v>0</v>
      </c>
      <c r="Q292">
        <v>63</v>
      </c>
      <c r="R292">
        <v>74.58</v>
      </c>
      <c r="S292">
        <v>55000</v>
      </c>
      <c r="T292">
        <v>5005000</v>
      </c>
    </row>
    <row r="293" spans="1:20" x14ac:dyDescent="0.25">
      <c r="A293" t="s">
        <v>27</v>
      </c>
      <c r="B293" t="s">
        <v>28</v>
      </c>
      <c r="C293" t="s">
        <v>22</v>
      </c>
      <c r="D293" t="s">
        <v>105</v>
      </c>
      <c r="E293" t="s">
        <v>106</v>
      </c>
      <c r="F293" t="s">
        <v>107</v>
      </c>
      <c r="G293" t="s">
        <v>26</v>
      </c>
      <c r="H293">
        <v>147</v>
      </c>
      <c r="I293">
        <v>4235.8999999999996</v>
      </c>
      <c r="J293">
        <v>367.07</v>
      </c>
      <c r="K293">
        <v>8.67</v>
      </c>
      <c r="L293">
        <v>250.05</v>
      </c>
      <c r="M293">
        <v>5.9</v>
      </c>
      <c r="N293">
        <v>1.5</v>
      </c>
      <c r="O293">
        <v>28.3</v>
      </c>
      <c r="P293">
        <v>0</v>
      </c>
      <c r="Q293">
        <v>64.790000000000006</v>
      </c>
      <c r="R293">
        <v>73.34</v>
      </c>
      <c r="S293">
        <v>55000</v>
      </c>
      <c r="T293">
        <v>5005000</v>
      </c>
    </row>
    <row r="294" spans="1:20" x14ac:dyDescent="0.25">
      <c r="A294" t="s">
        <v>29</v>
      </c>
      <c r="B294" t="s">
        <v>30</v>
      </c>
      <c r="C294" t="s">
        <v>22</v>
      </c>
      <c r="D294" t="s">
        <v>105</v>
      </c>
      <c r="E294" t="s">
        <v>106</v>
      </c>
      <c r="F294" t="s">
        <v>107</v>
      </c>
      <c r="G294" t="s">
        <v>26</v>
      </c>
      <c r="H294">
        <v>147</v>
      </c>
      <c r="I294">
        <v>4018.71</v>
      </c>
      <c r="J294">
        <v>355.91</v>
      </c>
      <c r="K294">
        <v>8.86</v>
      </c>
      <c r="L294">
        <v>481.9</v>
      </c>
      <c r="M294">
        <v>11.99</v>
      </c>
      <c r="N294">
        <v>1.3</v>
      </c>
      <c r="O294">
        <v>41</v>
      </c>
      <c r="P294">
        <v>0</v>
      </c>
      <c r="Q294">
        <v>60.46</v>
      </c>
      <c r="R294">
        <v>71.11</v>
      </c>
      <c r="S294">
        <v>55000</v>
      </c>
      <c r="T294">
        <v>5005000</v>
      </c>
    </row>
    <row r="295" spans="1:20" x14ac:dyDescent="0.25">
      <c r="A295" t="s">
        <v>31</v>
      </c>
      <c r="B295" t="s">
        <v>32</v>
      </c>
      <c r="C295" t="s">
        <v>22</v>
      </c>
      <c r="D295" t="s">
        <v>105</v>
      </c>
      <c r="E295" t="s">
        <v>106</v>
      </c>
      <c r="F295" t="s">
        <v>107</v>
      </c>
      <c r="G295" t="s">
        <v>26</v>
      </c>
      <c r="H295">
        <v>147</v>
      </c>
      <c r="I295">
        <v>4220.53</v>
      </c>
      <c r="J295">
        <v>385.23</v>
      </c>
      <c r="K295">
        <v>9.1300000000000008</v>
      </c>
      <c r="L295">
        <v>296.95999999999998</v>
      </c>
      <c r="M295">
        <v>7.04</v>
      </c>
      <c r="N295">
        <v>1.45</v>
      </c>
      <c r="O295">
        <v>7.6</v>
      </c>
      <c r="P295">
        <v>0</v>
      </c>
      <c r="Q295">
        <v>65.66</v>
      </c>
      <c r="R295">
        <v>76.97</v>
      </c>
      <c r="S295">
        <v>55000</v>
      </c>
      <c r="T295">
        <v>5005000</v>
      </c>
    </row>
    <row r="296" spans="1:20" x14ac:dyDescent="0.25">
      <c r="A296" t="s">
        <v>33</v>
      </c>
      <c r="B296" t="s">
        <v>34</v>
      </c>
      <c r="C296" t="s">
        <v>22</v>
      </c>
      <c r="D296" t="s">
        <v>105</v>
      </c>
      <c r="E296" t="s">
        <v>106</v>
      </c>
      <c r="F296" t="s">
        <v>107</v>
      </c>
      <c r="G296" t="s">
        <v>26</v>
      </c>
      <c r="H296">
        <v>147</v>
      </c>
      <c r="I296">
        <v>3908.61</v>
      </c>
      <c r="J296">
        <v>377.28</v>
      </c>
      <c r="K296">
        <v>9.65</v>
      </c>
      <c r="L296">
        <v>161.43</v>
      </c>
      <c r="M296">
        <v>4.13</v>
      </c>
      <c r="N296">
        <v>1.27</v>
      </c>
      <c r="O296">
        <v>56.4</v>
      </c>
      <c r="P296">
        <v>0</v>
      </c>
      <c r="Q296">
        <v>66.66</v>
      </c>
      <c r="R296">
        <v>75.38</v>
      </c>
      <c r="S296">
        <v>55000</v>
      </c>
      <c r="T296">
        <v>5005000</v>
      </c>
    </row>
    <row r="297" spans="1:20" x14ac:dyDescent="0.25">
      <c r="A297" t="s">
        <v>35</v>
      </c>
      <c r="B297" t="s">
        <v>36</v>
      </c>
      <c r="C297" t="s">
        <v>37</v>
      </c>
      <c r="D297" t="s">
        <v>105</v>
      </c>
      <c r="E297" t="s">
        <v>106</v>
      </c>
      <c r="F297" t="s">
        <v>107</v>
      </c>
      <c r="G297" t="s">
        <v>26</v>
      </c>
      <c r="H297">
        <v>147</v>
      </c>
      <c r="I297">
        <v>1043.54</v>
      </c>
      <c r="J297">
        <v>118.57</v>
      </c>
      <c r="K297">
        <v>11.36</v>
      </c>
      <c r="L297">
        <v>-439.04</v>
      </c>
      <c r="M297">
        <v>-42.07</v>
      </c>
      <c r="N297">
        <v>0.39</v>
      </c>
      <c r="O297">
        <v>37</v>
      </c>
      <c r="P297">
        <v>0</v>
      </c>
      <c r="Q297">
        <v>20.57</v>
      </c>
      <c r="R297">
        <v>23.69</v>
      </c>
      <c r="S297">
        <v>55000</v>
      </c>
      <c r="T297">
        <v>5005000</v>
      </c>
    </row>
    <row r="298" spans="1:20" x14ac:dyDescent="0.25">
      <c r="A298" t="s">
        <v>38</v>
      </c>
      <c r="B298" t="s">
        <v>39</v>
      </c>
      <c r="C298" t="s">
        <v>37</v>
      </c>
      <c r="D298" t="s">
        <v>105</v>
      </c>
      <c r="E298" t="s">
        <v>106</v>
      </c>
      <c r="F298" t="s">
        <v>107</v>
      </c>
      <c r="G298" t="s">
        <v>26</v>
      </c>
      <c r="H298">
        <v>147</v>
      </c>
      <c r="I298">
        <v>637.87</v>
      </c>
      <c r="J298">
        <v>252.4</v>
      </c>
      <c r="K298">
        <v>39.57</v>
      </c>
      <c r="L298">
        <v>-165.41</v>
      </c>
      <c r="M298">
        <v>-25.93</v>
      </c>
      <c r="N298">
        <v>0.22</v>
      </c>
      <c r="O298">
        <v>34.6</v>
      </c>
      <c r="P298">
        <v>0</v>
      </c>
      <c r="Q298">
        <v>44.05</v>
      </c>
      <c r="R298">
        <v>50.43</v>
      </c>
      <c r="S298">
        <v>55000</v>
      </c>
      <c r="T298">
        <v>5005000</v>
      </c>
    </row>
    <row r="299" spans="1:20" x14ac:dyDescent="0.25">
      <c r="A299" t="s">
        <v>40</v>
      </c>
      <c r="B299" t="s">
        <v>41</v>
      </c>
      <c r="C299" t="s">
        <v>37</v>
      </c>
      <c r="D299" t="s">
        <v>105</v>
      </c>
      <c r="E299" t="s">
        <v>106</v>
      </c>
      <c r="F299" t="s">
        <v>107</v>
      </c>
      <c r="G299" t="s">
        <v>26</v>
      </c>
      <c r="H299">
        <v>147</v>
      </c>
      <c r="I299">
        <v>1117.8499999999999</v>
      </c>
      <c r="J299">
        <v>228.53</v>
      </c>
      <c r="K299">
        <v>20.440000000000001</v>
      </c>
      <c r="L299">
        <v>-476.64</v>
      </c>
      <c r="M299">
        <v>-42.64</v>
      </c>
      <c r="N299">
        <v>0.42</v>
      </c>
      <c r="O299">
        <v>16.600000000000001</v>
      </c>
      <c r="P299">
        <v>0</v>
      </c>
      <c r="Q299">
        <v>39.950000000000003</v>
      </c>
      <c r="R299">
        <v>45.66</v>
      </c>
      <c r="S299">
        <v>55000</v>
      </c>
      <c r="T299">
        <v>5005000</v>
      </c>
    </row>
    <row r="300" spans="1:20" x14ac:dyDescent="0.25">
      <c r="A300" t="s">
        <v>42</v>
      </c>
      <c r="B300" t="s">
        <v>43</v>
      </c>
      <c r="C300" t="s">
        <v>37</v>
      </c>
      <c r="D300" t="s">
        <v>105</v>
      </c>
      <c r="E300" t="s">
        <v>106</v>
      </c>
      <c r="F300" t="s">
        <v>107</v>
      </c>
      <c r="G300" t="s">
        <v>26</v>
      </c>
      <c r="H300">
        <v>147</v>
      </c>
      <c r="I300">
        <v>1124.9000000000001</v>
      </c>
      <c r="J300">
        <v>429.28</v>
      </c>
      <c r="K300">
        <v>38.159999999999997</v>
      </c>
      <c r="L300">
        <v>-265.60000000000002</v>
      </c>
      <c r="M300">
        <v>-23.61</v>
      </c>
      <c r="N300">
        <v>0.38</v>
      </c>
      <c r="O300">
        <v>40.799999999999997</v>
      </c>
      <c r="P300">
        <v>0</v>
      </c>
      <c r="Q300">
        <v>75.489999999999995</v>
      </c>
      <c r="R300">
        <v>85.77</v>
      </c>
      <c r="S300">
        <v>55000</v>
      </c>
      <c r="T300">
        <v>5005000</v>
      </c>
    </row>
    <row r="301" spans="1:20" x14ac:dyDescent="0.25">
      <c r="A301" t="s">
        <v>44</v>
      </c>
      <c r="B301" t="s">
        <v>45</v>
      </c>
      <c r="C301" t="s">
        <v>37</v>
      </c>
      <c r="D301" t="s">
        <v>105</v>
      </c>
      <c r="E301" t="s">
        <v>106</v>
      </c>
      <c r="F301" t="s">
        <v>107</v>
      </c>
      <c r="G301" t="s">
        <v>26</v>
      </c>
      <c r="H301">
        <v>147</v>
      </c>
      <c r="I301">
        <v>1425.88</v>
      </c>
      <c r="J301">
        <v>455.05</v>
      </c>
      <c r="K301">
        <v>31.91</v>
      </c>
      <c r="L301">
        <v>-338</v>
      </c>
      <c r="M301">
        <v>-23.71</v>
      </c>
      <c r="N301">
        <v>0.52</v>
      </c>
      <c r="O301">
        <v>28.6</v>
      </c>
      <c r="P301">
        <v>1.33</v>
      </c>
      <c r="Q301">
        <v>76.83</v>
      </c>
      <c r="R301">
        <v>90.92</v>
      </c>
      <c r="S301">
        <v>55000</v>
      </c>
      <c r="T301">
        <v>5005000</v>
      </c>
    </row>
    <row r="302" spans="1:20" x14ac:dyDescent="0.25">
      <c r="A302" t="s">
        <v>46</v>
      </c>
      <c r="B302" t="s">
        <v>47</v>
      </c>
      <c r="C302" t="s">
        <v>48</v>
      </c>
      <c r="D302" t="s">
        <v>105</v>
      </c>
      <c r="E302" t="s">
        <v>106</v>
      </c>
      <c r="F302" t="s">
        <v>107</v>
      </c>
      <c r="G302" t="s">
        <v>26</v>
      </c>
      <c r="H302">
        <v>147</v>
      </c>
      <c r="I302">
        <v>3035.04</v>
      </c>
      <c r="J302">
        <v>450.05</v>
      </c>
      <c r="K302">
        <v>14.83</v>
      </c>
      <c r="L302">
        <v>39.82</v>
      </c>
      <c r="M302">
        <v>1.31</v>
      </c>
      <c r="N302">
        <v>1.1000000000000001</v>
      </c>
      <c r="O302">
        <v>9.4</v>
      </c>
      <c r="P302">
        <v>0</v>
      </c>
      <c r="Q302">
        <v>78.97</v>
      </c>
      <c r="R302">
        <v>89.92</v>
      </c>
      <c r="S302">
        <v>55000</v>
      </c>
      <c r="T302">
        <v>5005000</v>
      </c>
    </row>
    <row r="303" spans="1:20" x14ac:dyDescent="0.25">
      <c r="A303" t="s">
        <v>49</v>
      </c>
      <c r="B303" t="s">
        <v>50</v>
      </c>
      <c r="C303" t="s">
        <v>48</v>
      </c>
      <c r="D303" t="s">
        <v>105</v>
      </c>
      <c r="E303" t="s">
        <v>106</v>
      </c>
      <c r="F303" t="s">
        <v>107</v>
      </c>
      <c r="G303" t="s">
        <v>26</v>
      </c>
      <c r="H303">
        <v>147</v>
      </c>
      <c r="I303">
        <v>3371.04</v>
      </c>
      <c r="J303">
        <v>521.77</v>
      </c>
      <c r="K303">
        <v>15.48</v>
      </c>
      <c r="L303">
        <v>-160.63</v>
      </c>
      <c r="M303">
        <v>-4.76</v>
      </c>
      <c r="N303">
        <v>1.1000000000000001</v>
      </c>
      <c r="O303">
        <v>31.3</v>
      </c>
      <c r="P303">
        <v>25.86</v>
      </c>
      <c r="Q303">
        <v>86.82</v>
      </c>
      <c r="R303">
        <v>104.25</v>
      </c>
      <c r="S303">
        <v>55000</v>
      </c>
      <c r="T303">
        <v>5005000</v>
      </c>
    </row>
    <row r="304" spans="1:20" x14ac:dyDescent="0.25">
      <c r="A304" t="s">
        <v>51</v>
      </c>
      <c r="B304" t="s">
        <v>52</v>
      </c>
      <c r="C304" t="s">
        <v>48</v>
      </c>
      <c r="D304" t="s">
        <v>105</v>
      </c>
      <c r="E304" t="s">
        <v>106</v>
      </c>
      <c r="F304" t="s">
        <v>107</v>
      </c>
      <c r="G304" t="s">
        <v>26</v>
      </c>
      <c r="H304">
        <v>147</v>
      </c>
      <c r="I304">
        <v>2871.74</v>
      </c>
      <c r="J304">
        <v>407.61</v>
      </c>
      <c r="K304">
        <v>14.19</v>
      </c>
      <c r="L304">
        <v>-7.11</v>
      </c>
      <c r="M304">
        <v>-0.25</v>
      </c>
      <c r="N304">
        <v>0.97</v>
      </c>
      <c r="O304">
        <v>17.5</v>
      </c>
      <c r="P304">
        <v>0</v>
      </c>
      <c r="Q304">
        <v>72.010000000000005</v>
      </c>
      <c r="R304">
        <v>81.44</v>
      </c>
      <c r="S304">
        <v>55000</v>
      </c>
      <c r="T304">
        <v>5005000</v>
      </c>
    </row>
    <row r="305" spans="1:20" x14ac:dyDescent="0.25">
      <c r="A305" t="s">
        <v>53</v>
      </c>
      <c r="B305" t="s">
        <v>54</v>
      </c>
      <c r="C305" t="s">
        <v>55</v>
      </c>
      <c r="D305" t="s">
        <v>105</v>
      </c>
      <c r="E305" t="s">
        <v>106</v>
      </c>
      <c r="F305" t="s">
        <v>107</v>
      </c>
      <c r="G305" t="s">
        <v>26</v>
      </c>
      <c r="H305">
        <v>147</v>
      </c>
      <c r="I305">
        <v>4001.83</v>
      </c>
      <c r="J305">
        <v>658.81</v>
      </c>
      <c r="K305">
        <v>16.46</v>
      </c>
      <c r="L305">
        <v>241.8</v>
      </c>
      <c r="M305">
        <v>6.04</v>
      </c>
      <c r="N305">
        <v>1.39</v>
      </c>
      <c r="O305">
        <v>52.8</v>
      </c>
      <c r="P305">
        <v>160.9</v>
      </c>
      <c r="Q305">
        <v>109.53</v>
      </c>
      <c r="R305">
        <v>131.63</v>
      </c>
      <c r="S305">
        <v>55000</v>
      </c>
      <c r="T305">
        <v>5005000</v>
      </c>
    </row>
    <row r="306" spans="1:20" x14ac:dyDescent="0.25">
      <c r="A306" t="s">
        <v>56</v>
      </c>
      <c r="B306" t="s">
        <v>57</v>
      </c>
      <c r="C306" t="s">
        <v>55</v>
      </c>
      <c r="D306" t="s">
        <v>105</v>
      </c>
      <c r="E306" t="s">
        <v>106</v>
      </c>
      <c r="F306" t="s">
        <v>107</v>
      </c>
      <c r="G306" t="s">
        <v>26</v>
      </c>
      <c r="H306">
        <v>147</v>
      </c>
      <c r="I306">
        <v>3942.68</v>
      </c>
      <c r="J306">
        <v>472.92</v>
      </c>
      <c r="K306">
        <v>11.99</v>
      </c>
      <c r="L306">
        <v>167.77</v>
      </c>
      <c r="M306">
        <v>4.26</v>
      </c>
      <c r="N306">
        <v>1.37</v>
      </c>
      <c r="O306">
        <v>3.1</v>
      </c>
      <c r="P306">
        <v>0.73</v>
      </c>
      <c r="Q306">
        <v>80.69</v>
      </c>
      <c r="R306">
        <v>94.49</v>
      </c>
      <c r="S306">
        <v>55000</v>
      </c>
      <c r="T306">
        <v>5005000</v>
      </c>
    </row>
    <row r="307" spans="1:20" x14ac:dyDescent="0.25">
      <c r="A307" t="s">
        <v>58</v>
      </c>
      <c r="B307" t="s">
        <v>59</v>
      </c>
      <c r="C307" t="s">
        <v>55</v>
      </c>
      <c r="D307" t="s">
        <v>105</v>
      </c>
      <c r="E307" t="s">
        <v>106</v>
      </c>
      <c r="F307" t="s">
        <v>107</v>
      </c>
      <c r="G307" t="s">
        <v>26</v>
      </c>
      <c r="H307">
        <v>147</v>
      </c>
      <c r="I307">
        <v>3781.68</v>
      </c>
      <c r="J307">
        <v>528.33000000000004</v>
      </c>
      <c r="K307">
        <v>13.97</v>
      </c>
      <c r="L307">
        <v>318.60000000000002</v>
      </c>
      <c r="M307">
        <v>8.42</v>
      </c>
      <c r="N307">
        <v>1.31</v>
      </c>
      <c r="O307">
        <v>4.3</v>
      </c>
      <c r="P307">
        <v>3.93</v>
      </c>
      <c r="Q307">
        <v>93.25</v>
      </c>
      <c r="R307">
        <v>105.56</v>
      </c>
      <c r="S307">
        <v>55000</v>
      </c>
      <c r="T307">
        <v>5005000</v>
      </c>
    </row>
    <row r="308" spans="1:20" x14ac:dyDescent="0.25">
      <c r="A308" t="s">
        <v>60</v>
      </c>
      <c r="B308" t="s">
        <v>61</v>
      </c>
      <c r="C308" t="s">
        <v>62</v>
      </c>
      <c r="D308" t="s">
        <v>105</v>
      </c>
      <c r="E308" t="s">
        <v>106</v>
      </c>
      <c r="F308" t="s">
        <v>107</v>
      </c>
      <c r="G308" t="s">
        <v>26</v>
      </c>
      <c r="H308">
        <v>147</v>
      </c>
      <c r="I308">
        <v>4129.72</v>
      </c>
      <c r="J308">
        <v>486.14</v>
      </c>
      <c r="K308">
        <v>11.77</v>
      </c>
      <c r="L308">
        <v>329.66</v>
      </c>
      <c r="M308">
        <v>7.98</v>
      </c>
      <c r="N308">
        <v>1.36</v>
      </c>
      <c r="O308">
        <v>24.2</v>
      </c>
      <c r="P308">
        <v>9.32</v>
      </c>
      <c r="Q308">
        <v>84.29</v>
      </c>
      <c r="R308">
        <v>97.13</v>
      </c>
      <c r="S308">
        <v>55000</v>
      </c>
      <c r="T308">
        <v>5005000</v>
      </c>
    </row>
    <row r="309" spans="1:20" x14ac:dyDescent="0.25">
      <c r="A309" t="s">
        <v>63</v>
      </c>
      <c r="B309" t="s">
        <v>64</v>
      </c>
      <c r="C309" t="s">
        <v>62</v>
      </c>
      <c r="D309" t="s">
        <v>105</v>
      </c>
      <c r="E309" t="s">
        <v>106</v>
      </c>
      <c r="F309" t="s">
        <v>107</v>
      </c>
      <c r="G309" t="s">
        <v>26</v>
      </c>
      <c r="H309">
        <v>147</v>
      </c>
      <c r="I309">
        <v>3995.39</v>
      </c>
      <c r="J309">
        <v>510.36</v>
      </c>
      <c r="K309">
        <v>12.77</v>
      </c>
      <c r="L309">
        <v>339.23</v>
      </c>
      <c r="M309">
        <v>8.49</v>
      </c>
      <c r="N309">
        <v>1.36</v>
      </c>
      <c r="O309">
        <v>39.5</v>
      </c>
      <c r="P309">
        <v>26.81</v>
      </c>
      <c r="Q309">
        <v>88.18</v>
      </c>
      <c r="R309">
        <v>101.97</v>
      </c>
      <c r="S309">
        <v>55000</v>
      </c>
      <c r="T309">
        <v>5005000</v>
      </c>
    </row>
    <row r="310" spans="1:20" x14ac:dyDescent="0.25">
      <c r="A310" t="s">
        <v>65</v>
      </c>
      <c r="B310" t="s">
        <v>66</v>
      </c>
      <c r="C310" t="s">
        <v>62</v>
      </c>
      <c r="D310" t="s">
        <v>105</v>
      </c>
      <c r="E310" t="s">
        <v>106</v>
      </c>
      <c r="F310" t="s">
        <v>107</v>
      </c>
      <c r="G310" t="s">
        <v>26</v>
      </c>
      <c r="H310">
        <v>147</v>
      </c>
      <c r="I310">
        <v>4397.1400000000003</v>
      </c>
      <c r="J310">
        <v>488.09</v>
      </c>
      <c r="K310">
        <v>11.1</v>
      </c>
      <c r="L310">
        <v>257.44</v>
      </c>
      <c r="M310">
        <v>5.85</v>
      </c>
      <c r="N310">
        <v>1.5</v>
      </c>
      <c r="O310">
        <v>36.5</v>
      </c>
      <c r="P310">
        <v>14.89</v>
      </c>
      <c r="Q310">
        <v>85.16</v>
      </c>
      <c r="R310">
        <v>97.52</v>
      </c>
      <c r="S310">
        <v>55000</v>
      </c>
      <c r="T310">
        <v>5005000</v>
      </c>
    </row>
    <row r="311" spans="1:20" x14ac:dyDescent="0.25">
      <c r="A311" t="s">
        <v>67</v>
      </c>
      <c r="B311" t="s">
        <v>68</v>
      </c>
      <c r="C311" t="s">
        <v>69</v>
      </c>
      <c r="D311" t="s">
        <v>105</v>
      </c>
      <c r="E311" t="s">
        <v>106</v>
      </c>
      <c r="F311" t="s">
        <v>107</v>
      </c>
      <c r="G311" t="s">
        <v>26</v>
      </c>
      <c r="H311">
        <v>147</v>
      </c>
      <c r="I311">
        <v>4186.55</v>
      </c>
      <c r="J311">
        <v>450.25</v>
      </c>
      <c r="K311">
        <v>10.75</v>
      </c>
      <c r="L311">
        <v>444.34</v>
      </c>
      <c r="M311">
        <v>10.61</v>
      </c>
      <c r="N311">
        <v>1.39</v>
      </c>
      <c r="O311">
        <v>41.2</v>
      </c>
      <c r="P311">
        <v>0</v>
      </c>
      <c r="Q311">
        <v>78.33</v>
      </c>
      <c r="R311">
        <v>89.96</v>
      </c>
      <c r="S311">
        <v>55000</v>
      </c>
      <c r="T311">
        <v>5005000</v>
      </c>
    </row>
    <row r="312" spans="1:20" x14ac:dyDescent="0.25">
      <c r="A312" t="s">
        <v>70</v>
      </c>
      <c r="B312" t="s">
        <v>71</v>
      </c>
      <c r="C312" t="s">
        <v>69</v>
      </c>
      <c r="D312" t="s">
        <v>105</v>
      </c>
      <c r="E312" t="s">
        <v>106</v>
      </c>
      <c r="F312" t="s">
        <v>107</v>
      </c>
      <c r="G312" t="s">
        <v>26</v>
      </c>
      <c r="H312">
        <v>147</v>
      </c>
      <c r="I312">
        <v>4002.22</v>
      </c>
      <c r="J312">
        <v>495.6</v>
      </c>
      <c r="K312">
        <v>12.38</v>
      </c>
      <c r="L312">
        <v>210.3</v>
      </c>
      <c r="M312">
        <v>5.25</v>
      </c>
      <c r="N312">
        <v>1.48</v>
      </c>
      <c r="O312">
        <v>30.8</v>
      </c>
      <c r="P312">
        <v>15.3</v>
      </c>
      <c r="Q312">
        <v>84.61</v>
      </c>
      <c r="R312">
        <v>99.02</v>
      </c>
      <c r="S312">
        <v>55000</v>
      </c>
      <c r="T312">
        <v>5005000</v>
      </c>
    </row>
    <row r="313" spans="1:20" x14ac:dyDescent="0.25">
      <c r="A313" t="s">
        <v>72</v>
      </c>
      <c r="B313" t="s">
        <v>73</v>
      </c>
      <c r="C313" t="s">
        <v>69</v>
      </c>
      <c r="D313" t="s">
        <v>105</v>
      </c>
      <c r="E313" t="s">
        <v>106</v>
      </c>
      <c r="F313" t="s">
        <v>107</v>
      </c>
      <c r="G313" t="s">
        <v>26</v>
      </c>
      <c r="H313">
        <v>147</v>
      </c>
      <c r="I313">
        <v>4106.75</v>
      </c>
      <c r="J313">
        <v>509.41</v>
      </c>
      <c r="K313">
        <v>12.4</v>
      </c>
      <c r="L313">
        <v>545.59</v>
      </c>
      <c r="M313">
        <v>13.29</v>
      </c>
      <c r="N313">
        <v>1.49</v>
      </c>
      <c r="O313">
        <v>44</v>
      </c>
      <c r="P313">
        <v>29.34</v>
      </c>
      <c r="Q313">
        <v>84.06</v>
      </c>
      <c r="R313">
        <v>101.78</v>
      </c>
      <c r="S313">
        <v>55000</v>
      </c>
      <c r="T313">
        <v>5005000</v>
      </c>
    </row>
    <row r="314" spans="1:20" x14ac:dyDescent="0.25">
      <c r="A314" t="s">
        <v>74</v>
      </c>
      <c r="B314" t="s">
        <v>75</v>
      </c>
      <c r="C314" t="s">
        <v>69</v>
      </c>
      <c r="D314" t="s">
        <v>105</v>
      </c>
      <c r="E314" t="s">
        <v>106</v>
      </c>
      <c r="F314" t="s">
        <v>107</v>
      </c>
      <c r="G314" t="s">
        <v>26</v>
      </c>
      <c r="H314">
        <v>147</v>
      </c>
      <c r="I314">
        <v>3998.54</v>
      </c>
      <c r="J314">
        <v>470.37</v>
      </c>
      <c r="K314">
        <v>11.76</v>
      </c>
      <c r="L314">
        <v>243.61</v>
      </c>
      <c r="M314">
        <v>6.09</v>
      </c>
      <c r="N314">
        <v>1.39</v>
      </c>
      <c r="O314">
        <v>42.4</v>
      </c>
      <c r="P314">
        <v>8.82</v>
      </c>
      <c r="Q314">
        <v>80.400000000000006</v>
      </c>
      <c r="R314">
        <v>93.98</v>
      </c>
      <c r="S314">
        <v>55000</v>
      </c>
      <c r="T314">
        <v>5005000</v>
      </c>
    </row>
    <row r="315" spans="1:20" x14ac:dyDescent="0.25">
      <c r="A315" t="s">
        <v>76</v>
      </c>
      <c r="B315" t="s">
        <v>77</v>
      </c>
      <c r="C315" t="s">
        <v>69</v>
      </c>
      <c r="D315" t="s">
        <v>105</v>
      </c>
      <c r="E315" t="s">
        <v>106</v>
      </c>
      <c r="F315" t="s">
        <v>107</v>
      </c>
      <c r="G315" t="s">
        <v>26</v>
      </c>
      <c r="H315">
        <v>147</v>
      </c>
      <c r="I315">
        <v>4105.68</v>
      </c>
      <c r="J315">
        <v>563.16</v>
      </c>
      <c r="K315">
        <v>13.72</v>
      </c>
      <c r="L315">
        <v>190.58</v>
      </c>
      <c r="M315">
        <v>4.6399999999999997</v>
      </c>
      <c r="N315">
        <v>1.48</v>
      </c>
      <c r="O315">
        <v>50.3</v>
      </c>
      <c r="P315">
        <v>70.88</v>
      </c>
      <c r="Q315">
        <v>94.78</v>
      </c>
      <c r="R315">
        <v>112.52</v>
      </c>
      <c r="S315">
        <v>55000</v>
      </c>
      <c r="T315">
        <v>5005000</v>
      </c>
    </row>
    <row r="316" spans="1:20" x14ac:dyDescent="0.25">
      <c r="A316" t="s">
        <v>78</v>
      </c>
      <c r="B316" t="s">
        <v>79</v>
      </c>
      <c r="C316" t="s">
        <v>80</v>
      </c>
      <c r="D316" t="s">
        <v>105</v>
      </c>
      <c r="E316" t="s">
        <v>106</v>
      </c>
      <c r="F316" t="s">
        <v>107</v>
      </c>
      <c r="G316" t="s">
        <v>26</v>
      </c>
      <c r="H316">
        <v>147</v>
      </c>
      <c r="I316">
        <v>4398.3100000000004</v>
      </c>
      <c r="J316">
        <v>508.21</v>
      </c>
      <c r="K316">
        <v>11.55</v>
      </c>
      <c r="L316">
        <v>355.72</v>
      </c>
      <c r="M316">
        <v>8.09</v>
      </c>
      <c r="N316">
        <v>1.46</v>
      </c>
      <c r="O316">
        <v>60.2</v>
      </c>
      <c r="P316">
        <v>39.229999999999997</v>
      </c>
      <c r="Q316">
        <v>85.13</v>
      </c>
      <c r="R316">
        <v>101.54</v>
      </c>
      <c r="S316">
        <v>55000</v>
      </c>
      <c r="T316">
        <v>5005000</v>
      </c>
    </row>
    <row r="317" spans="1:20" x14ac:dyDescent="0.25">
      <c r="A317" t="s">
        <v>81</v>
      </c>
      <c r="B317" t="s">
        <v>82</v>
      </c>
      <c r="C317" t="s">
        <v>80</v>
      </c>
      <c r="D317" t="s">
        <v>105</v>
      </c>
      <c r="E317" t="s">
        <v>106</v>
      </c>
      <c r="F317" t="s">
        <v>107</v>
      </c>
      <c r="G317" t="s">
        <v>26</v>
      </c>
      <c r="H317">
        <v>147</v>
      </c>
      <c r="I317">
        <v>4276.17</v>
      </c>
      <c r="J317">
        <v>602.75</v>
      </c>
      <c r="K317">
        <v>14.1</v>
      </c>
      <c r="L317">
        <v>198.41</v>
      </c>
      <c r="M317">
        <v>4.6399999999999997</v>
      </c>
      <c r="N317">
        <v>1.51</v>
      </c>
      <c r="O317">
        <v>1.9</v>
      </c>
      <c r="P317">
        <v>3.87</v>
      </c>
      <c r="Q317">
        <v>101.77</v>
      </c>
      <c r="R317">
        <v>120.43</v>
      </c>
      <c r="S317">
        <v>55000</v>
      </c>
      <c r="T317">
        <v>5005000</v>
      </c>
    </row>
    <row r="318" spans="1:20" x14ac:dyDescent="0.25">
      <c r="A318" t="s">
        <v>83</v>
      </c>
      <c r="B318" t="s">
        <v>84</v>
      </c>
      <c r="C318" t="s">
        <v>80</v>
      </c>
      <c r="D318" t="s">
        <v>105</v>
      </c>
      <c r="E318" t="s">
        <v>106</v>
      </c>
      <c r="F318" t="s">
        <v>107</v>
      </c>
      <c r="G318" t="s">
        <v>26</v>
      </c>
      <c r="H318">
        <v>147</v>
      </c>
      <c r="I318">
        <v>4015.74</v>
      </c>
      <c r="J318">
        <v>561.66</v>
      </c>
      <c r="K318">
        <v>13.99</v>
      </c>
      <c r="L318">
        <v>189.12</v>
      </c>
      <c r="M318">
        <v>4.71</v>
      </c>
      <c r="N318">
        <v>1.31</v>
      </c>
      <c r="O318">
        <v>31.8</v>
      </c>
      <c r="P318">
        <v>44.1</v>
      </c>
      <c r="Q318">
        <v>93.24</v>
      </c>
      <c r="R318">
        <v>112.22</v>
      </c>
      <c r="S318">
        <v>55000</v>
      </c>
      <c r="T318">
        <v>5005000</v>
      </c>
    </row>
    <row r="319" spans="1:20" x14ac:dyDescent="0.25">
      <c r="A319" t="s">
        <v>85</v>
      </c>
      <c r="B319" t="s">
        <v>86</v>
      </c>
      <c r="C319" t="s">
        <v>80</v>
      </c>
      <c r="D319" t="s">
        <v>105</v>
      </c>
      <c r="E319" t="s">
        <v>106</v>
      </c>
      <c r="F319" t="s">
        <v>107</v>
      </c>
      <c r="G319" t="s">
        <v>26</v>
      </c>
      <c r="H319">
        <v>147</v>
      </c>
      <c r="I319">
        <v>4054.3</v>
      </c>
      <c r="J319">
        <v>558.91</v>
      </c>
      <c r="K319">
        <v>13.79</v>
      </c>
      <c r="L319">
        <v>197.85</v>
      </c>
      <c r="M319">
        <v>4.88</v>
      </c>
      <c r="N319">
        <v>1.41</v>
      </c>
      <c r="O319">
        <v>46.1</v>
      </c>
      <c r="P319">
        <v>62.04</v>
      </c>
      <c r="Q319">
        <v>99.34</v>
      </c>
      <c r="R319">
        <v>111.67</v>
      </c>
      <c r="S319">
        <v>55000</v>
      </c>
      <c r="T319">
        <v>5005000</v>
      </c>
    </row>
    <row r="320" spans="1:20" x14ac:dyDescent="0.25">
      <c r="A320" t="s">
        <v>87</v>
      </c>
      <c r="B320" t="s">
        <v>88</v>
      </c>
      <c r="C320" t="s">
        <v>89</v>
      </c>
      <c r="D320" t="s">
        <v>105</v>
      </c>
      <c r="E320" t="s">
        <v>106</v>
      </c>
      <c r="F320" t="s">
        <v>107</v>
      </c>
      <c r="G320" t="s">
        <v>26</v>
      </c>
      <c r="H320">
        <v>147</v>
      </c>
      <c r="I320">
        <v>2913.56</v>
      </c>
      <c r="J320">
        <v>734.73</v>
      </c>
      <c r="K320">
        <v>25.22</v>
      </c>
      <c r="L320">
        <v>-214.2</v>
      </c>
      <c r="M320">
        <v>-7.35</v>
      </c>
      <c r="N320">
        <v>1.04</v>
      </c>
      <c r="O320">
        <v>33.799999999999997</v>
      </c>
      <c r="P320">
        <v>156.72999999999999</v>
      </c>
      <c r="Q320">
        <v>130.88</v>
      </c>
      <c r="R320">
        <v>146.80000000000001</v>
      </c>
      <c r="S320">
        <v>55000</v>
      </c>
      <c r="T320">
        <v>5005000</v>
      </c>
    </row>
    <row r="321" spans="1:20" x14ac:dyDescent="0.25">
      <c r="A321" t="s">
        <v>20</v>
      </c>
      <c r="B321" t="s">
        <v>21</v>
      </c>
      <c r="C321" t="s">
        <v>22</v>
      </c>
      <c r="D321" t="s">
        <v>108</v>
      </c>
      <c r="E321" t="s">
        <v>109</v>
      </c>
      <c r="F321" t="s">
        <v>107</v>
      </c>
      <c r="G321" t="s">
        <v>26</v>
      </c>
      <c r="H321">
        <v>230</v>
      </c>
      <c r="I321">
        <v>2804.26</v>
      </c>
      <c r="J321">
        <v>325.77</v>
      </c>
      <c r="K321">
        <v>11.62</v>
      </c>
      <c r="L321">
        <v>222.46</v>
      </c>
      <c r="M321">
        <v>7.93</v>
      </c>
      <c r="N321">
        <v>2.16</v>
      </c>
      <c r="O321">
        <v>7.5</v>
      </c>
      <c r="P321">
        <v>0</v>
      </c>
      <c r="Q321">
        <v>63</v>
      </c>
      <c r="R321">
        <v>74.58</v>
      </c>
      <c r="S321">
        <v>48000</v>
      </c>
      <c r="T321">
        <v>4368000</v>
      </c>
    </row>
    <row r="322" spans="1:20" x14ac:dyDescent="0.25">
      <c r="A322" t="s">
        <v>27</v>
      </c>
      <c r="B322" t="s">
        <v>28</v>
      </c>
      <c r="C322" t="s">
        <v>22</v>
      </c>
      <c r="D322" t="s">
        <v>108</v>
      </c>
      <c r="E322" t="s">
        <v>109</v>
      </c>
      <c r="F322" t="s">
        <v>107</v>
      </c>
      <c r="G322" t="s">
        <v>26</v>
      </c>
      <c r="H322">
        <v>230</v>
      </c>
      <c r="I322">
        <v>2688.84</v>
      </c>
      <c r="J322">
        <v>320.35000000000002</v>
      </c>
      <c r="K322">
        <v>11.91</v>
      </c>
      <c r="L322">
        <v>190.59</v>
      </c>
      <c r="M322">
        <v>7.09</v>
      </c>
      <c r="N322">
        <v>2.21</v>
      </c>
      <c r="O322">
        <v>18.7</v>
      </c>
      <c r="P322">
        <v>0</v>
      </c>
      <c r="Q322">
        <v>64.790000000000006</v>
      </c>
      <c r="R322">
        <v>73.34</v>
      </c>
      <c r="S322">
        <v>48000</v>
      </c>
      <c r="T322">
        <v>4368000</v>
      </c>
    </row>
    <row r="323" spans="1:20" x14ac:dyDescent="0.25">
      <c r="A323" t="s">
        <v>29</v>
      </c>
      <c r="B323" t="s">
        <v>30</v>
      </c>
      <c r="C323" t="s">
        <v>22</v>
      </c>
      <c r="D323" t="s">
        <v>108</v>
      </c>
      <c r="E323" t="s">
        <v>109</v>
      </c>
      <c r="F323" t="s">
        <v>107</v>
      </c>
      <c r="G323" t="s">
        <v>26</v>
      </c>
      <c r="H323">
        <v>230</v>
      </c>
      <c r="I323">
        <v>2955.66</v>
      </c>
      <c r="J323">
        <v>310.61</v>
      </c>
      <c r="K323">
        <v>10.51</v>
      </c>
      <c r="L323">
        <v>230.63</v>
      </c>
      <c r="M323">
        <v>7.8</v>
      </c>
      <c r="N323">
        <v>2.42</v>
      </c>
      <c r="O323">
        <v>28.1</v>
      </c>
      <c r="P323">
        <v>0</v>
      </c>
      <c r="Q323">
        <v>60.46</v>
      </c>
      <c r="R323">
        <v>71.11</v>
      </c>
      <c r="S323">
        <v>48000</v>
      </c>
      <c r="T323">
        <v>4368000</v>
      </c>
    </row>
    <row r="324" spans="1:20" x14ac:dyDescent="0.25">
      <c r="A324" t="s">
        <v>31</v>
      </c>
      <c r="B324" t="s">
        <v>32</v>
      </c>
      <c r="C324" t="s">
        <v>22</v>
      </c>
      <c r="D324" t="s">
        <v>108</v>
      </c>
      <c r="E324" t="s">
        <v>109</v>
      </c>
      <c r="F324" t="s">
        <v>107</v>
      </c>
      <c r="G324" t="s">
        <v>26</v>
      </c>
      <c r="H324">
        <v>230</v>
      </c>
      <c r="I324">
        <v>2841.21</v>
      </c>
      <c r="J324">
        <v>336.2</v>
      </c>
      <c r="K324">
        <v>11.83</v>
      </c>
      <c r="L324">
        <v>184.72</v>
      </c>
      <c r="M324">
        <v>6.5</v>
      </c>
      <c r="N324">
        <v>2.27</v>
      </c>
      <c r="O324">
        <v>7.2</v>
      </c>
      <c r="P324">
        <v>0</v>
      </c>
      <c r="Q324">
        <v>65.66</v>
      </c>
      <c r="R324">
        <v>76.97</v>
      </c>
      <c r="S324">
        <v>48000</v>
      </c>
      <c r="T324">
        <v>4368000</v>
      </c>
    </row>
    <row r="325" spans="1:20" x14ac:dyDescent="0.25">
      <c r="A325" t="s">
        <v>33</v>
      </c>
      <c r="B325" t="s">
        <v>34</v>
      </c>
      <c r="C325" t="s">
        <v>22</v>
      </c>
      <c r="D325" t="s">
        <v>108</v>
      </c>
      <c r="E325" t="s">
        <v>109</v>
      </c>
      <c r="F325" t="s">
        <v>107</v>
      </c>
      <c r="G325" t="s">
        <v>26</v>
      </c>
      <c r="H325">
        <v>230</v>
      </c>
      <c r="I325">
        <v>2800.78</v>
      </c>
      <c r="J325">
        <v>329.26</v>
      </c>
      <c r="K325">
        <v>11.76</v>
      </c>
      <c r="L325">
        <v>237.59</v>
      </c>
      <c r="M325">
        <v>8.48</v>
      </c>
      <c r="N325">
        <v>2.3199999999999998</v>
      </c>
      <c r="O325">
        <v>26</v>
      </c>
      <c r="P325">
        <v>0</v>
      </c>
      <c r="Q325">
        <v>66.66</v>
      </c>
      <c r="R325">
        <v>75.38</v>
      </c>
      <c r="S325">
        <v>48000</v>
      </c>
      <c r="T325">
        <v>4368000</v>
      </c>
    </row>
    <row r="326" spans="1:20" x14ac:dyDescent="0.25">
      <c r="A326" t="s">
        <v>35</v>
      </c>
      <c r="B326" t="s">
        <v>36</v>
      </c>
      <c r="C326" t="s">
        <v>37</v>
      </c>
      <c r="D326" t="s">
        <v>108</v>
      </c>
      <c r="E326" t="s">
        <v>109</v>
      </c>
      <c r="F326" t="s">
        <v>107</v>
      </c>
      <c r="G326" t="s">
        <v>26</v>
      </c>
      <c r="H326">
        <v>230</v>
      </c>
      <c r="I326">
        <v>792.64</v>
      </c>
      <c r="J326">
        <v>103.48</v>
      </c>
      <c r="K326">
        <v>13.05</v>
      </c>
      <c r="L326">
        <v>-322.08999999999997</v>
      </c>
      <c r="M326">
        <v>-40.630000000000003</v>
      </c>
      <c r="N326">
        <v>0.56999999999999995</v>
      </c>
      <c r="O326">
        <v>32.9</v>
      </c>
      <c r="P326">
        <v>0</v>
      </c>
      <c r="Q326">
        <v>20.57</v>
      </c>
      <c r="R326">
        <v>23.69</v>
      </c>
      <c r="S326">
        <v>48000</v>
      </c>
      <c r="T326">
        <v>4368000</v>
      </c>
    </row>
    <row r="327" spans="1:20" x14ac:dyDescent="0.25">
      <c r="A327" t="s">
        <v>38</v>
      </c>
      <c r="B327" t="s">
        <v>39</v>
      </c>
      <c r="C327" t="s">
        <v>37</v>
      </c>
      <c r="D327" t="s">
        <v>108</v>
      </c>
      <c r="E327" t="s">
        <v>109</v>
      </c>
      <c r="F327" t="s">
        <v>107</v>
      </c>
      <c r="G327" t="s">
        <v>26</v>
      </c>
      <c r="H327">
        <v>230</v>
      </c>
      <c r="I327">
        <v>685.37</v>
      </c>
      <c r="J327">
        <v>220.28</v>
      </c>
      <c r="K327">
        <v>32.14</v>
      </c>
      <c r="L327">
        <v>-193.66</v>
      </c>
      <c r="M327">
        <v>-28.26</v>
      </c>
      <c r="N327">
        <v>0.53</v>
      </c>
      <c r="O327">
        <v>1.9</v>
      </c>
      <c r="P327">
        <v>0</v>
      </c>
      <c r="Q327">
        <v>44.05</v>
      </c>
      <c r="R327">
        <v>50.43</v>
      </c>
      <c r="S327">
        <v>48000</v>
      </c>
      <c r="T327">
        <v>4368000</v>
      </c>
    </row>
    <row r="328" spans="1:20" x14ac:dyDescent="0.25">
      <c r="A328" t="s">
        <v>40</v>
      </c>
      <c r="B328" t="s">
        <v>41</v>
      </c>
      <c r="C328" t="s">
        <v>37</v>
      </c>
      <c r="D328" t="s">
        <v>108</v>
      </c>
      <c r="E328" t="s">
        <v>109</v>
      </c>
      <c r="F328" t="s">
        <v>107</v>
      </c>
      <c r="G328" t="s">
        <v>26</v>
      </c>
      <c r="H328">
        <v>230</v>
      </c>
      <c r="I328">
        <v>825.2</v>
      </c>
      <c r="J328">
        <v>199.44</v>
      </c>
      <c r="K328">
        <v>24.17</v>
      </c>
      <c r="L328">
        <v>-176.96</v>
      </c>
      <c r="M328">
        <v>-21.44</v>
      </c>
      <c r="N328">
        <v>0.64</v>
      </c>
      <c r="O328">
        <v>39.700000000000003</v>
      </c>
      <c r="P328">
        <v>0</v>
      </c>
      <c r="Q328">
        <v>39.950000000000003</v>
      </c>
      <c r="R328">
        <v>45.66</v>
      </c>
      <c r="S328">
        <v>48000</v>
      </c>
      <c r="T328">
        <v>4368000</v>
      </c>
    </row>
    <row r="329" spans="1:20" x14ac:dyDescent="0.25">
      <c r="A329" t="s">
        <v>42</v>
      </c>
      <c r="B329" t="s">
        <v>43</v>
      </c>
      <c r="C329" t="s">
        <v>37</v>
      </c>
      <c r="D329" t="s">
        <v>108</v>
      </c>
      <c r="E329" t="s">
        <v>109</v>
      </c>
      <c r="F329" t="s">
        <v>107</v>
      </c>
      <c r="G329" t="s">
        <v>26</v>
      </c>
      <c r="H329">
        <v>230</v>
      </c>
      <c r="I329">
        <v>725.02</v>
      </c>
      <c r="J329">
        <v>374.64</v>
      </c>
      <c r="K329">
        <v>51.67</v>
      </c>
      <c r="L329">
        <v>-223.67</v>
      </c>
      <c r="M329">
        <v>-30.85</v>
      </c>
      <c r="N329">
        <v>0.62</v>
      </c>
      <c r="O329">
        <v>47.9</v>
      </c>
      <c r="P329">
        <v>0</v>
      </c>
      <c r="Q329">
        <v>75.489999999999995</v>
      </c>
      <c r="R329">
        <v>85.77</v>
      </c>
      <c r="S329">
        <v>48000</v>
      </c>
      <c r="T329">
        <v>4368000</v>
      </c>
    </row>
    <row r="330" spans="1:20" x14ac:dyDescent="0.25">
      <c r="A330" t="s">
        <v>44</v>
      </c>
      <c r="B330" t="s">
        <v>45</v>
      </c>
      <c r="C330" t="s">
        <v>37</v>
      </c>
      <c r="D330" t="s">
        <v>108</v>
      </c>
      <c r="E330" t="s">
        <v>109</v>
      </c>
      <c r="F330" t="s">
        <v>107</v>
      </c>
      <c r="G330" t="s">
        <v>26</v>
      </c>
      <c r="H330">
        <v>230</v>
      </c>
      <c r="I330">
        <v>851.08</v>
      </c>
      <c r="J330">
        <v>397.14</v>
      </c>
      <c r="K330">
        <v>46.66</v>
      </c>
      <c r="L330">
        <v>-363.83</v>
      </c>
      <c r="M330">
        <v>-42.75</v>
      </c>
      <c r="N330">
        <v>0.63</v>
      </c>
      <c r="O330">
        <v>43.1</v>
      </c>
      <c r="P330">
        <v>1.75</v>
      </c>
      <c r="Q330">
        <v>76.83</v>
      </c>
      <c r="R330">
        <v>90.92</v>
      </c>
      <c r="S330">
        <v>48000</v>
      </c>
      <c r="T330">
        <v>4368000</v>
      </c>
    </row>
    <row r="331" spans="1:20" x14ac:dyDescent="0.25">
      <c r="A331" t="s">
        <v>46</v>
      </c>
      <c r="B331" t="s">
        <v>47</v>
      </c>
      <c r="C331" t="s">
        <v>48</v>
      </c>
      <c r="D331" t="s">
        <v>108</v>
      </c>
      <c r="E331" t="s">
        <v>109</v>
      </c>
      <c r="F331" t="s">
        <v>107</v>
      </c>
      <c r="G331" t="s">
        <v>26</v>
      </c>
      <c r="H331">
        <v>230</v>
      </c>
      <c r="I331">
        <v>2122.66</v>
      </c>
      <c r="J331">
        <v>392.77</v>
      </c>
      <c r="K331">
        <v>18.5</v>
      </c>
      <c r="L331">
        <v>107.53</v>
      </c>
      <c r="M331">
        <v>5.07</v>
      </c>
      <c r="N331">
        <v>1.55</v>
      </c>
      <c r="O331">
        <v>36.799999999999997</v>
      </c>
      <c r="P331">
        <v>0</v>
      </c>
      <c r="Q331">
        <v>78.97</v>
      </c>
      <c r="R331">
        <v>89.92</v>
      </c>
      <c r="S331">
        <v>48000</v>
      </c>
      <c r="T331">
        <v>4368000</v>
      </c>
    </row>
    <row r="332" spans="1:20" x14ac:dyDescent="0.25">
      <c r="A332" t="s">
        <v>49</v>
      </c>
      <c r="B332" t="s">
        <v>50</v>
      </c>
      <c r="C332" t="s">
        <v>48</v>
      </c>
      <c r="D332" t="s">
        <v>108</v>
      </c>
      <c r="E332" t="s">
        <v>109</v>
      </c>
      <c r="F332" t="s">
        <v>107</v>
      </c>
      <c r="G332" t="s">
        <v>26</v>
      </c>
      <c r="H332">
        <v>230</v>
      </c>
      <c r="I332">
        <v>2092.1999999999998</v>
      </c>
      <c r="J332">
        <v>455.36</v>
      </c>
      <c r="K332">
        <v>21.76</v>
      </c>
      <c r="L332">
        <v>127.85</v>
      </c>
      <c r="M332">
        <v>6.11</v>
      </c>
      <c r="N332">
        <v>1.56</v>
      </c>
      <c r="O332">
        <v>22.7</v>
      </c>
      <c r="P332">
        <v>16.37</v>
      </c>
      <c r="Q332">
        <v>86.82</v>
      </c>
      <c r="R332">
        <v>104.25</v>
      </c>
      <c r="S332">
        <v>48000</v>
      </c>
      <c r="T332">
        <v>4368000</v>
      </c>
    </row>
    <row r="333" spans="1:20" x14ac:dyDescent="0.25">
      <c r="A333" t="s">
        <v>51</v>
      </c>
      <c r="B333" t="s">
        <v>52</v>
      </c>
      <c r="C333" t="s">
        <v>48</v>
      </c>
      <c r="D333" t="s">
        <v>108</v>
      </c>
      <c r="E333" t="s">
        <v>109</v>
      </c>
      <c r="F333" t="s">
        <v>107</v>
      </c>
      <c r="G333" t="s">
        <v>26</v>
      </c>
      <c r="H333">
        <v>230</v>
      </c>
      <c r="I333">
        <v>1904.26</v>
      </c>
      <c r="J333">
        <v>355.73</v>
      </c>
      <c r="K333">
        <v>18.68</v>
      </c>
      <c r="L333">
        <v>16.62</v>
      </c>
      <c r="M333">
        <v>0.87</v>
      </c>
      <c r="N333">
        <v>1.63</v>
      </c>
      <c r="O333">
        <v>43.6</v>
      </c>
      <c r="P333">
        <v>0</v>
      </c>
      <c r="Q333">
        <v>72.010000000000005</v>
      </c>
      <c r="R333">
        <v>81.44</v>
      </c>
      <c r="S333">
        <v>48000</v>
      </c>
      <c r="T333">
        <v>4368000</v>
      </c>
    </row>
    <row r="334" spans="1:20" x14ac:dyDescent="0.25">
      <c r="A334" t="s">
        <v>53</v>
      </c>
      <c r="B334" t="s">
        <v>54</v>
      </c>
      <c r="C334" t="s">
        <v>55</v>
      </c>
      <c r="D334" t="s">
        <v>108</v>
      </c>
      <c r="E334" t="s">
        <v>109</v>
      </c>
      <c r="F334" t="s">
        <v>107</v>
      </c>
      <c r="G334" t="s">
        <v>26</v>
      </c>
      <c r="H334">
        <v>230</v>
      </c>
      <c r="I334">
        <v>2936.81</v>
      </c>
      <c r="J334">
        <v>574.96</v>
      </c>
      <c r="K334">
        <v>19.579999999999998</v>
      </c>
      <c r="L334">
        <v>80.67</v>
      </c>
      <c r="M334">
        <v>2.75</v>
      </c>
      <c r="N334">
        <v>2.3199999999999998</v>
      </c>
      <c r="O334">
        <v>54.5</v>
      </c>
      <c r="P334">
        <v>144.94</v>
      </c>
      <c r="Q334">
        <v>109.53</v>
      </c>
      <c r="R334">
        <v>131.63</v>
      </c>
      <c r="S334">
        <v>48000</v>
      </c>
      <c r="T334">
        <v>4368000</v>
      </c>
    </row>
    <row r="335" spans="1:20" x14ac:dyDescent="0.25">
      <c r="A335" t="s">
        <v>56</v>
      </c>
      <c r="B335" t="s">
        <v>57</v>
      </c>
      <c r="C335" t="s">
        <v>55</v>
      </c>
      <c r="D335" t="s">
        <v>108</v>
      </c>
      <c r="E335" t="s">
        <v>109</v>
      </c>
      <c r="F335" t="s">
        <v>107</v>
      </c>
      <c r="G335" t="s">
        <v>26</v>
      </c>
      <c r="H335">
        <v>230</v>
      </c>
      <c r="I335">
        <v>2988.99</v>
      </c>
      <c r="J335">
        <v>412.73</v>
      </c>
      <c r="K335">
        <v>13.81</v>
      </c>
      <c r="L335">
        <v>296.02999999999997</v>
      </c>
      <c r="M335">
        <v>9.9</v>
      </c>
      <c r="N335">
        <v>2.39</v>
      </c>
      <c r="O335">
        <v>0.1</v>
      </c>
      <c r="P335">
        <v>0.02</v>
      </c>
      <c r="Q335">
        <v>80.69</v>
      </c>
      <c r="R335">
        <v>94.49</v>
      </c>
      <c r="S335">
        <v>48000</v>
      </c>
      <c r="T335">
        <v>4368000</v>
      </c>
    </row>
    <row r="336" spans="1:20" x14ac:dyDescent="0.25">
      <c r="A336" t="s">
        <v>58</v>
      </c>
      <c r="B336" t="s">
        <v>59</v>
      </c>
      <c r="C336" t="s">
        <v>55</v>
      </c>
      <c r="D336" t="s">
        <v>108</v>
      </c>
      <c r="E336" t="s">
        <v>109</v>
      </c>
      <c r="F336" t="s">
        <v>107</v>
      </c>
      <c r="G336" t="s">
        <v>26</v>
      </c>
      <c r="H336">
        <v>230</v>
      </c>
      <c r="I336">
        <v>3023.47</v>
      </c>
      <c r="J336">
        <v>461.09</v>
      </c>
      <c r="K336">
        <v>15.25</v>
      </c>
      <c r="L336">
        <v>291.75</v>
      </c>
      <c r="M336">
        <v>9.65</v>
      </c>
      <c r="N336">
        <v>2.62</v>
      </c>
      <c r="O336">
        <v>50.2</v>
      </c>
      <c r="P336">
        <v>40.020000000000003</v>
      </c>
      <c r="Q336">
        <v>93.25</v>
      </c>
      <c r="R336">
        <v>105.56</v>
      </c>
      <c r="S336">
        <v>48000</v>
      </c>
      <c r="T336">
        <v>4368000</v>
      </c>
    </row>
    <row r="337" spans="1:20" x14ac:dyDescent="0.25">
      <c r="A337" t="s">
        <v>60</v>
      </c>
      <c r="B337" t="s">
        <v>61</v>
      </c>
      <c r="C337" t="s">
        <v>62</v>
      </c>
      <c r="D337" t="s">
        <v>108</v>
      </c>
      <c r="E337" t="s">
        <v>109</v>
      </c>
      <c r="F337" t="s">
        <v>107</v>
      </c>
      <c r="G337" t="s">
        <v>26</v>
      </c>
      <c r="H337">
        <v>230</v>
      </c>
      <c r="I337">
        <v>2737.14</v>
      </c>
      <c r="J337">
        <v>424.26</v>
      </c>
      <c r="K337">
        <v>15.5</v>
      </c>
      <c r="L337">
        <v>147.55000000000001</v>
      </c>
      <c r="M337">
        <v>5.39</v>
      </c>
      <c r="N337">
        <v>2.27</v>
      </c>
      <c r="O337">
        <v>9.1</v>
      </c>
      <c r="P337">
        <v>3.06</v>
      </c>
      <c r="Q337">
        <v>84.29</v>
      </c>
      <c r="R337">
        <v>97.13</v>
      </c>
      <c r="S337">
        <v>48000</v>
      </c>
      <c r="T337">
        <v>4368000</v>
      </c>
    </row>
    <row r="338" spans="1:20" x14ac:dyDescent="0.25">
      <c r="A338" t="s">
        <v>63</v>
      </c>
      <c r="B338" t="s">
        <v>64</v>
      </c>
      <c r="C338" t="s">
        <v>62</v>
      </c>
      <c r="D338" t="s">
        <v>108</v>
      </c>
      <c r="E338" t="s">
        <v>109</v>
      </c>
      <c r="F338" t="s">
        <v>107</v>
      </c>
      <c r="G338" t="s">
        <v>26</v>
      </c>
      <c r="H338">
        <v>230</v>
      </c>
      <c r="I338">
        <v>3007.01</v>
      </c>
      <c r="J338">
        <v>445.4</v>
      </c>
      <c r="K338">
        <v>14.81</v>
      </c>
      <c r="L338">
        <v>254.34</v>
      </c>
      <c r="M338">
        <v>8.4600000000000009</v>
      </c>
      <c r="N338">
        <v>2.17</v>
      </c>
      <c r="O338">
        <v>9.8000000000000007</v>
      </c>
      <c r="P338">
        <v>5.81</v>
      </c>
      <c r="Q338">
        <v>88.18</v>
      </c>
      <c r="R338">
        <v>101.97</v>
      </c>
      <c r="S338">
        <v>48000</v>
      </c>
      <c r="T338">
        <v>4368000</v>
      </c>
    </row>
    <row r="339" spans="1:20" x14ac:dyDescent="0.25">
      <c r="A339" t="s">
        <v>65</v>
      </c>
      <c r="B339" t="s">
        <v>66</v>
      </c>
      <c r="C339" t="s">
        <v>62</v>
      </c>
      <c r="D339" t="s">
        <v>108</v>
      </c>
      <c r="E339" t="s">
        <v>109</v>
      </c>
      <c r="F339" t="s">
        <v>107</v>
      </c>
      <c r="G339" t="s">
        <v>26</v>
      </c>
      <c r="H339">
        <v>230</v>
      </c>
      <c r="I339">
        <v>2765.74</v>
      </c>
      <c r="J339">
        <v>425.97</v>
      </c>
      <c r="K339">
        <v>15.4</v>
      </c>
      <c r="L339">
        <v>305.27</v>
      </c>
      <c r="M339">
        <v>11.04</v>
      </c>
      <c r="N339">
        <v>2.31</v>
      </c>
      <c r="O339">
        <v>13.8</v>
      </c>
      <c r="P339">
        <v>4.91</v>
      </c>
      <c r="Q339">
        <v>85.16</v>
      </c>
      <c r="R339">
        <v>97.52</v>
      </c>
      <c r="S339">
        <v>48000</v>
      </c>
      <c r="T339">
        <v>4368000</v>
      </c>
    </row>
    <row r="340" spans="1:20" x14ac:dyDescent="0.25">
      <c r="A340" t="s">
        <v>67</v>
      </c>
      <c r="B340" t="s">
        <v>68</v>
      </c>
      <c r="C340" t="s">
        <v>69</v>
      </c>
      <c r="D340" t="s">
        <v>108</v>
      </c>
      <c r="E340" t="s">
        <v>109</v>
      </c>
      <c r="F340" t="s">
        <v>107</v>
      </c>
      <c r="G340" t="s">
        <v>26</v>
      </c>
      <c r="H340">
        <v>230</v>
      </c>
      <c r="I340">
        <v>2896.07</v>
      </c>
      <c r="J340">
        <v>392.95</v>
      </c>
      <c r="K340">
        <v>13.57</v>
      </c>
      <c r="L340">
        <v>125.06</v>
      </c>
      <c r="M340">
        <v>4.32</v>
      </c>
      <c r="N340">
        <v>2.12</v>
      </c>
      <c r="O340">
        <v>34.799999999999997</v>
      </c>
      <c r="P340">
        <v>0</v>
      </c>
      <c r="Q340">
        <v>78.33</v>
      </c>
      <c r="R340">
        <v>89.96</v>
      </c>
      <c r="S340">
        <v>48000</v>
      </c>
      <c r="T340">
        <v>4368000</v>
      </c>
    </row>
    <row r="341" spans="1:20" x14ac:dyDescent="0.25">
      <c r="A341" t="s">
        <v>70</v>
      </c>
      <c r="B341" t="s">
        <v>71</v>
      </c>
      <c r="C341" t="s">
        <v>69</v>
      </c>
      <c r="D341" t="s">
        <v>108</v>
      </c>
      <c r="E341" t="s">
        <v>109</v>
      </c>
      <c r="F341" t="s">
        <v>107</v>
      </c>
      <c r="G341" t="s">
        <v>26</v>
      </c>
      <c r="H341">
        <v>230</v>
      </c>
      <c r="I341">
        <v>2916.19</v>
      </c>
      <c r="J341">
        <v>432.52</v>
      </c>
      <c r="K341">
        <v>14.83</v>
      </c>
      <c r="L341">
        <v>383.29</v>
      </c>
      <c r="M341">
        <v>13.14</v>
      </c>
      <c r="N341">
        <v>2.29</v>
      </c>
      <c r="O341">
        <v>7.8</v>
      </c>
      <c r="P341">
        <v>3.38</v>
      </c>
      <c r="Q341">
        <v>84.61</v>
      </c>
      <c r="R341">
        <v>99.02</v>
      </c>
      <c r="S341">
        <v>48000</v>
      </c>
      <c r="T341">
        <v>4368000</v>
      </c>
    </row>
    <row r="342" spans="1:20" x14ac:dyDescent="0.25">
      <c r="A342" t="s">
        <v>72</v>
      </c>
      <c r="B342" t="s">
        <v>73</v>
      </c>
      <c r="C342" t="s">
        <v>69</v>
      </c>
      <c r="D342" t="s">
        <v>108</v>
      </c>
      <c r="E342" t="s">
        <v>109</v>
      </c>
      <c r="F342" t="s">
        <v>107</v>
      </c>
      <c r="G342" t="s">
        <v>26</v>
      </c>
      <c r="H342">
        <v>230</v>
      </c>
      <c r="I342">
        <v>2998.15</v>
      </c>
      <c r="J342">
        <v>444.58</v>
      </c>
      <c r="K342">
        <v>14.83</v>
      </c>
      <c r="L342">
        <v>251.08</v>
      </c>
      <c r="M342">
        <v>8.3699999999999992</v>
      </c>
      <c r="N342">
        <v>2.39</v>
      </c>
      <c r="O342">
        <v>55.5</v>
      </c>
      <c r="P342">
        <v>32.299999999999997</v>
      </c>
      <c r="Q342">
        <v>84.06</v>
      </c>
      <c r="R342">
        <v>101.78</v>
      </c>
      <c r="S342">
        <v>48000</v>
      </c>
      <c r="T342">
        <v>4368000</v>
      </c>
    </row>
    <row r="343" spans="1:20" x14ac:dyDescent="0.25">
      <c r="A343" t="s">
        <v>74</v>
      </c>
      <c r="B343" t="s">
        <v>75</v>
      </c>
      <c r="C343" t="s">
        <v>69</v>
      </c>
      <c r="D343" t="s">
        <v>108</v>
      </c>
      <c r="E343" t="s">
        <v>109</v>
      </c>
      <c r="F343" t="s">
        <v>107</v>
      </c>
      <c r="G343" t="s">
        <v>26</v>
      </c>
      <c r="H343">
        <v>230</v>
      </c>
      <c r="I343">
        <v>2873.22</v>
      </c>
      <c r="J343">
        <v>410.5</v>
      </c>
      <c r="K343">
        <v>14.29</v>
      </c>
      <c r="L343">
        <v>201.54</v>
      </c>
      <c r="M343">
        <v>7.01</v>
      </c>
      <c r="N343">
        <v>2.31</v>
      </c>
      <c r="O343">
        <v>40.6</v>
      </c>
      <c r="P343">
        <v>7.37</v>
      </c>
      <c r="Q343">
        <v>80.400000000000006</v>
      </c>
      <c r="R343">
        <v>93.98</v>
      </c>
      <c r="S343">
        <v>48000</v>
      </c>
      <c r="T343">
        <v>4368000</v>
      </c>
    </row>
    <row r="344" spans="1:20" x14ac:dyDescent="0.25">
      <c r="A344" t="s">
        <v>76</v>
      </c>
      <c r="B344" t="s">
        <v>77</v>
      </c>
      <c r="C344" t="s">
        <v>69</v>
      </c>
      <c r="D344" t="s">
        <v>108</v>
      </c>
      <c r="E344" t="s">
        <v>109</v>
      </c>
      <c r="F344" t="s">
        <v>107</v>
      </c>
      <c r="G344" t="s">
        <v>26</v>
      </c>
      <c r="H344">
        <v>230</v>
      </c>
      <c r="I344">
        <v>2983.89</v>
      </c>
      <c r="J344">
        <v>491.49</v>
      </c>
      <c r="K344">
        <v>16.47</v>
      </c>
      <c r="L344">
        <v>189.43</v>
      </c>
      <c r="M344">
        <v>6.35</v>
      </c>
      <c r="N344">
        <v>2.41</v>
      </c>
      <c r="O344">
        <v>59.8</v>
      </c>
      <c r="P344">
        <v>73.540000000000006</v>
      </c>
      <c r="Q344">
        <v>94.78</v>
      </c>
      <c r="R344">
        <v>112.52</v>
      </c>
      <c r="S344">
        <v>48000</v>
      </c>
      <c r="T344">
        <v>4368000</v>
      </c>
    </row>
    <row r="345" spans="1:20" x14ac:dyDescent="0.25">
      <c r="A345" t="s">
        <v>78</v>
      </c>
      <c r="B345" t="s">
        <v>79</v>
      </c>
      <c r="C345" t="s">
        <v>80</v>
      </c>
      <c r="D345" t="s">
        <v>108</v>
      </c>
      <c r="E345" t="s">
        <v>109</v>
      </c>
      <c r="F345" t="s">
        <v>107</v>
      </c>
      <c r="G345" t="s">
        <v>26</v>
      </c>
      <c r="H345">
        <v>230</v>
      </c>
      <c r="I345">
        <v>2676.55</v>
      </c>
      <c r="J345">
        <v>443.53</v>
      </c>
      <c r="K345">
        <v>16.57</v>
      </c>
      <c r="L345">
        <v>159.13999999999999</v>
      </c>
      <c r="M345">
        <v>5.95</v>
      </c>
      <c r="N345">
        <v>2.0699999999999998</v>
      </c>
      <c r="O345">
        <v>44.1</v>
      </c>
      <c r="P345">
        <v>25.08</v>
      </c>
      <c r="Q345">
        <v>85.13</v>
      </c>
      <c r="R345">
        <v>101.54</v>
      </c>
      <c r="S345">
        <v>48000</v>
      </c>
      <c r="T345">
        <v>4368000</v>
      </c>
    </row>
    <row r="346" spans="1:20" x14ac:dyDescent="0.25">
      <c r="A346" t="s">
        <v>81</v>
      </c>
      <c r="B346" t="s">
        <v>82</v>
      </c>
      <c r="C346" t="s">
        <v>80</v>
      </c>
      <c r="D346" t="s">
        <v>108</v>
      </c>
      <c r="E346" t="s">
        <v>109</v>
      </c>
      <c r="F346" t="s">
        <v>107</v>
      </c>
      <c r="G346" t="s">
        <v>26</v>
      </c>
      <c r="H346">
        <v>230</v>
      </c>
      <c r="I346">
        <v>2966.43</v>
      </c>
      <c r="J346">
        <v>526.04</v>
      </c>
      <c r="K346">
        <v>17.73</v>
      </c>
      <c r="L346">
        <v>177.74</v>
      </c>
      <c r="M346">
        <v>5.99</v>
      </c>
      <c r="N346">
        <v>2.2400000000000002</v>
      </c>
      <c r="O346">
        <v>53.5</v>
      </c>
      <c r="P346">
        <v>95.15</v>
      </c>
      <c r="Q346">
        <v>101.77</v>
      </c>
      <c r="R346">
        <v>120.43</v>
      </c>
      <c r="S346">
        <v>48000</v>
      </c>
      <c r="T346">
        <v>4368000</v>
      </c>
    </row>
    <row r="347" spans="1:20" x14ac:dyDescent="0.25">
      <c r="A347" t="s">
        <v>83</v>
      </c>
      <c r="B347" t="s">
        <v>84</v>
      </c>
      <c r="C347" t="s">
        <v>80</v>
      </c>
      <c r="D347" t="s">
        <v>108</v>
      </c>
      <c r="E347" t="s">
        <v>109</v>
      </c>
      <c r="F347" t="s">
        <v>107</v>
      </c>
      <c r="G347" t="s">
        <v>26</v>
      </c>
      <c r="H347">
        <v>230</v>
      </c>
      <c r="I347">
        <v>2714</v>
      </c>
      <c r="J347">
        <v>490.18</v>
      </c>
      <c r="K347">
        <v>18.059999999999999</v>
      </c>
      <c r="L347">
        <v>179.44</v>
      </c>
      <c r="M347">
        <v>6.61</v>
      </c>
      <c r="N347">
        <v>2.2599999999999998</v>
      </c>
      <c r="O347">
        <v>10.8</v>
      </c>
      <c r="P347">
        <v>13.07</v>
      </c>
      <c r="Q347">
        <v>93.24</v>
      </c>
      <c r="R347">
        <v>112.22</v>
      </c>
      <c r="S347">
        <v>48000</v>
      </c>
      <c r="T347">
        <v>4368000</v>
      </c>
    </row>
    <row r="348" spans="1:20" x14ac:dyDescent="0.25">
      <c r="A348" t="s">
        <v>85</v>
      </c>
      <c r="B348" t="s">
        <v>86</v>
      </c>
      <c r="C348" t="s">
        <v>80</v>
      </c>
      <c r="D348" t="s">
        <v>108</v>
      </c>
      <c r="E348" t="s">
        <v>109</v>
      </c>
      <c r="F348" t="s">
        <v>107</v>
      </c>
      <c r="G348" t="s">
        <v>26</v>
      </c>
      <c r="H348">
        <v>230</v>
      </c>
      <c r="I348">
        <v>2961.4</v>
      </c>
      <c r="J348">
        <v>487.77</v>
      </c>
      <c r="K348">
        <v>16.47</v>
      </c>
      <c r="L348">
        <v>263.72000000000003</v>
      </c>
      <c r="M348">
        <v>8.91</v>
      </c>
      <c r="N348">
        <v>2.34</v>
      </c>
      <c r="O348">
        <v>8.8000000000000007</v>
      </c>
      <c r="P348">
        <v>10.34</v>
      </c>
      <c r="Q348">
        <v>99.34</v>
      </c>
      <c r="R348">
        <v>111.67</v>
      </c>
      <c r="S348">
        <v>48000</v>
      </c>
      <c r="T348">
        <v>4368000</v>
      </c>
    </row>
    <row r="349" spans="1:20" x14ac:dyDescent="0.25">
      <c r="A349" t="s">
        <v>87</v>
      </c>
      <c r="B349" t="s">
        <v>88</v>
      </c>
      <c r="C349" t="s">
        <v>89</v>
      </c>
      <c r="D349" t="s">
        <v>108</v>
      </c>
      <c r="E349" t="s">
        <v>109</v>
      </c>
      <c r="F349" t="s">
        <v>107</v>
      </c>
      <c r="G349" t="s">
        <v>26</v>
      </c>
      <c r="H349">
        <v>230</v>
      </c>
      <c r="I349">
        <v>2340.61</v>
      </c>
      <c r="J349">
        <v>641.22</v>
      </c>
      <c r="K349">
        <v>27.4</v>
      </c>
      <c r="L349">
        <v>-171.33</v>
      </c>
      <c r="M349">
        <v>-7.32</v>
      </c>
      <c r="N349">
        <v>1.94</v>
      </c>
      <c r="O349">
        <v>20.6</v>
      </c>
      <c r="P349">
        <v>83.36</v>
      </c>
      <c r="Q349">
        <v>130.88</v>
      </c>
      <c r="R349">
        <v>146.80000000000001</v>
      </c>
      <c r="S349">
        <v>48000</v>
      </c>
      <c r="T349">
        <v>4368000</v>
      </c>
    </row>
    <row r="350" spans="1:20" x14ac:dyDescent="0.25">
      <c r="A350" t="s">
        <v>20</v>
      </c>
      <c r="B350" t="s">
        <v>21</v>
      </c>
      <c r="C350" t="s">
        <v>22</v>
      </c>
      <c r="D350" t="s">
        <v>110</v>
      </c>
      <c r="E350" t="s">
        <v>111</v>
      </c>
      <c r="F350" t="s">
        <v>107</v>
      </c>
      <c r="G350" t="s">
        <v>26</v>
      </c>
      <c r="H350">
        <v>183</v>
      </c>
      <c r="I350">
        <v>1691.37</v>
      </c>
      <c r="J350">
        <v>217.18</v>
      </c>
      <c r="K350">
        <v>12.84</v>
      </c>
      <c r="L350">
        <v>153.91</v>
      </c>
      <c r="M350">
        <v>9.1</v>
      </c>
      <c r="N350">
        <v>1.98</v>
      </c>
      <c r="O350">
        <v>29.9</v>
      </c>
      <c r="P350">
        <v>0</v>
      </c>
      <c r="Q350">
        <v>63</v>
      </c>
      <c r="R350">
        <v>74.58</v>
      </c>
      <c r="S350">
        <v>32000</v>
      </c>
      <c r="T350">
        <v>2912000</v>
      </c>
    </row>
    <row r="351" spans="1:20" x14ac:dyDescent="0.25">
      <c r="A351" t="s">
        <v>27</v>
      </c>
      <c r="B351" t="s">
        <v>28</v>
      </c>
      <c r="C351" t="s">
        <v>22</v>
      </c>
      <c r="D351" t="s">
        <v>110</v>
      </c>
      <c r="E351" t="s">
        <v>111</v>
      </c>
      <c r="F351" t="s">
        <v>107</v>
      </c>
      <c r="G351" t="s">
        <v>26</v>
      </c>
      <c r="H351">
        <v>183</v>
      </c>
      <c r="I351">
        <v>1593.88</v>
      </c>
      <c r="J351">
        <v>213.57</v>
      </c>
      <c r="K351">
        <v>13.4</v>
      </c>
      <c r="L351">
        <v>79.89</v>
      </c>
      <c r="M351">
        <v>5.01</v>
      </c>
      <c r="N351">
        <v>1.66</v>
      </c>
      <c r="O351">
        <v>36.6</v>
      </c>
      <c r="P351">
        <v>0</v>
      </c>
      <c r="Q351">
        <v>64.790000000000006</v>
      </c>
      <c r="R351">
        <v>73.34</v>
      </c>
      <c r="S351">
        <v>32000</v>
      </c>
      <c r="T351">
        <v>2912000</v>
      </c>
    </row>
    <row r="352" spans="1:20" x14ac:dyDescent="0.25">
      <c r="A352" t="s">
        <v>29</v>
      </c>
      <c r="B352" t="s">
        <v>30</v>
      </c>
      <c r="C352" t="s">
        <v>22</v>
      </c>
      <c r="D352" t="s">
        <v>110</v>
      </c>
      <c r="E352" t="s">
        <v>111</v>
      </c>
      <c r="F352" t="s">
        <v>107</v>
      </c>
      <c r="G352" t="s">
        <v>26</v>
      </c>
      <c r="H352">
        <v>183</v>
      </c>
      <c r="I352">
        <v>1579.67</v>
      </c>
      <c r="J352">
        <v>207.07</v>
      </c>
      <c r="K352">
        <v>13.11</v>
      </c>
      <c r="L352">
        <v>69.47</v>
      </c>
      <c r="M352">
        <v>4.4000000000000004</v>
      </c>
      <c r="N352">
        <v>1.71</v>
      </c>
      <c r="O352">
        <v>22.6</v>
      </c>
      <c r="P352">
        <v>0</v>
      </c>
      <c r="Q352">
        <v>60.46</v>
      </c>
      <c r="R352">
        <v>71.11</v>
      </c>
      <c r="S352">
        <v>32000</v>
      </c>
      <c r="T352">
        <v>2912000</v>
      </c>
    </row>
    <row r="353" spans="1:20" x14ac:dyDescent="0.25">
      <c r="A353" t="s">
        <v>31</v>
      </c>
      <c r="B353" t="s">
        <v>32</v>
      </c>
      <c r="C353" t="s">
        <v>22</v>
      </c>
      <c r="D353" t="s">
        <v>110</v>
      </c>
      <c r="E353" t="s">
        <v>111</v>
      </c>
      <c r="F353" t="s">
        <v>107</v>
      </c>
      <c r="G353" t="s">
        <v>26</v>
      </c>
      <c r="H353">
        <v>183</v>
      </c>
      <c r="I353">
        <v>1632.56</v>
      </c>
      <c r="J353">
        <v>224.14</v>
      </c>
      <c r="K353">
        <v>13.73</v>
      </c>
      <c r="L353">
        <v>139.44</v>
      </c>
      <c r="M353">
        <v>8.5399999999999991</v>
      </c>
      <c r="N353">
        <v>1.88</v>
      </c>
      <c r="O353">
        <v>62.5</v>
      </c>
      <c r="P353">
        <v>0</v>
      </c>
      <c r="Q353">
        <v>65.66</v>
      </c>
      <c r="R353">
        <v>76.97</v>
      </c>
      <c r="S353">
        <v>32000</v>
      </c>
      <c r="T353">
        <v>2912000</v>
      </c>
    </row>
    <row r="354" spans="1:20" x14ac:dyDescent="0.25">
      <c r="A354" t="s">
        <v>33</v>
      </c>
      <c r="B354" t="s">
        <v>34</v>
      </c>
      <c r="C354" t="s">
        <v>22</v>
      </c>
      <c r="D354" t="s">
        <v>110</v>
      </c>
      <c r="E354" t="s">
        <v>111</v>
      </c>
      <c r="F354" t="s">
        <v>107</v>
      </c>
      <c r="G354" t="s">
        <v>26</v>
      </c>
      <c r="H354">
        <v>183</v>
      </c>
      <c r="I354">
        <v>1599.16</v>
      </c>
      <c r="J354">
        <v>219.51</v>
      </c>
      <c r="K354">
        <v>13.73</v>
      </c>
      <c r="L354">
        <v>214.67</v>
      </c>
      <c r="M354">
        <v>13.42</v>
      </c>
      <c r="N354">
        <v>1.65</v>
      </c>
      <c r="O354">
        <v>49.1</v>
      </c>
      <c r="P354">
        <v>0</v>
      </c>
      <c r="Q354">
        <v>66.66</v>
      </c>
      <c r="R354">
        <v>75.38</v>
      </c>
      <c r="S354">
        <v>32000</v>
      </c>
      <c r="T354">
        <v>2912000</v>
      </c>
    </row>
    <row r="355" spans="1:20" x14ac:dyDescent="0.25">
      <c r="A355" t="s">
        <v>35</v>
      </c>
      <c r="B355" t="s">
        <v>36</v>
      </c>
      <c r="C355" t="s">
        <v>37</v>
      </c>
      <c r="D355" t="s">
        <v>110</v>
      </c>
      <c r="E355" t="s">
        <v>111</v>
      </c>
      <c r="F355" t="s">
        <v>107</v>
      </c>
      <c r="G355" t="s">
        <v>26</v>
      </c>
      <c r="H355">
        <v>183</v>
      </c>
      <c r="I355">
        <v>465.19</v>
      </c>
      <c r="J355">
        <v>68.989999999999995</v>
      </c>
      <c r="K355">
        <v>14.83</v>
      </c>
      <c r="L355">
        <v>-203.26</v>
      </c>
      <c r="M355">
        <v>-43.69</v>
      </c>
      <c r="N355">
        <v>0.53</v>
      </c>
      <c r="O355">
        <v>58.6</v>
      </c>
      <c r="P355">
        <v>0</v>
      </c>
      <c r="Q355">
        <v>20.57</v>
      </c>
      <c r="R355">
        <v>23.69</v>
      </c>
      <c r="S355">
        <v>32000</v>
      </c>
      <c r="T355">
        <v>2912000</v>
      </c>
    </row>
    <row r="356" spans="1:20" x14ac:dyDescent="0.25">
      <c r="A356" t="s">
        <v>38</v>
      </c>
      <c r="B356" t="s">
        <v>39</v>
      </c>
      <c r="C356" t="s">
        <v>37</v>
      </c>
      <c r="D356" t="s">
        <v>110</v>
      </c>
      <c r="E356" t="s">
        <v>111</v>
      </c>
      <c r="F356" t="s">
        <v>107</v>
      </c>
      <c r="G356" t="s">
        <v>26</v>
      </c>
      <c r="H356">
        <v>183</v>
      </c>
      <c r="I356">
        <v>546.07000000000005</v>
      </c>
      <c r="J356">
        <v>146.85</v>
      </c>
      <c r="K356">
        <v>26.89</v>
      </c>
      <c r="L356">
        <v>-152.19</v>
      </c>
      <c r="M356">
        <v>-27.87</v>
      </c>
      <c r="N356">
        <v>0.63</v>
      </c>
      <c r="O356">
        <v>4.7</v>
      </c>
      <c r="P356">
        <v>0</v>
      </c>
      <c r="Q356">
        <v>44.05</v>
      </c>
      <c r="R356">
        <v>50.43</v>
      </c>
      <c r="S356">
        <v>32000</v>
      </c>
      <c r="T356">
        <v>2912000</v>
      </c>
    </row>
    <row r="357" spans="1:20" x14ac:dyDescent="0.25">
      <c r="A357" t="s">
        <v>40</v>
      </c>
      <c r="B357" t="s">
        <v>41</v>
      </c>
      <c r="C357" t="s">
        <v>37</v>
      </c>
      <c r="D357" t="s">
        <v>110</v>
      </c>
      <c r="E357" t="s">
        <v>111</v>
      </c>
      <c r="F357" t="s">
        <v>107</v>
      </c>
      <c r="G357" t="s">
        <v>26</v>
      </c>
      <c r="H357">
        <v>183</v>
      </c>
      <c r="I357">
        <v>296.16000000000003</v>
      </c>
      <c r="J357">
        <v>132.96</v>
      </c>
      <c r="K357">
        <v>44.9</v>
      </c>
      <c r="L357">
        <v>-113.84</v>
      </c>
      <c r="M357">
        <v>-38.44</v>
      </c>
      <c r="N357">
        <v>0.33</v>
      </c>
      <c r="O357">
        <v>25.1</v>
      </c>
      <c r="P357">
        <v>0</v>
      </c>
      <c r="Q357">
        <v>39.950000000000003</v>
      </c>
      <c r="R357">
        <v>45.66</v>
      </c>
      <c r="S357">
        <v>32000</v>
      </c>
      <c r="T357">
        <v>2912000</v>
      </c>
    </row>
    <row r="358" spans="1:20" x14ac:dyDescent="0.25">
      <c r="A358" t="s">
        <v>42</v>
      </c>
      <c r="B358" t="s">
        <v>43</v>
      </c>
      <c r="C358" t="s">
        <v>37</v>
      </c>
      <c r="D358" t="s">
        <v>110</v>
      </c>
      <c r="E358" t="s">
        <v>111</v>
      </c>
      <c r="F358" t="s">
        <v>107</v>
      </c>
      <c r="G358" t="s">
        <v>26</v>
      </c>
      <c r="H358">
        <v>183</v>
      </c>
      <c r="I358">
        <v>457.32</v>
      </c>
      <c r="J358">
        <v>249.76</v>
      </c>
      <c r="K358">
        <v>54.61</v>
      </c>
      <c r="L358">
        <v>-154.84</v>
      </c>
      <c r="M358">
        <v>-33.86</v>
      </c>
      <c r="N358">
        <v>0.53</v>
      </c>
      <c r="O358">
        <v>46.4</v>
      </c>
      <c r="P358">
        <v>0</v>
      </c>
      <c r="Q358">
        <v>75.489999999999995</v>
      </c>
      <c r="R358">
        <v>85.77</v>
      </c>
      <c r="S358">
        <v>32000</v>
      </c>
      <c r="T358">
        <v>2912000</v>
      </c>
    </row>
    <row r="359" spans="1:20" x14ac:dyDescent="0.25">
      <c r="A359" t="s">
        <v>44</v>
      </c>
      <c r="B359" t="s">
        <v>45</v>
      </c>
      <c r="C359" t="s">
        <v>37</v>
      </c>
      <c r="D359" t="s">
        <v>110</v>
      </c>
      <c r="E359" t="s">
        <v>111</v>
      </c>
      <c r="F359" t="s">
        <v>107</v>
      </c>
      <c r="G359" t="s">
        <v>26</v>
      </c>
      <c r="H359">
        <v>183</v>
      </c>
      <c r="I359">
        <v>486.62</v>
      </c>
      <c r="J359">
        <v>264.76</v>
      </c>
      <c r="K359">
        <v>54.41</v>
      </c>
      <c r="L359">
        <v>-118.14</v>
      </c>
      <c r="M359">
        <v>-24.28</v>
      </c>
      <c r="N359">
        <v>0.56999999999999995</v>
      </c>
      <c r="O359">
        <v>50.7</v>
      </c>
      <c r="P359">
        <v>1.37</v>
      </c>
      <c r="Q359">
        <v>76.83</v>
      </c>
      <c r="R359">
        <v>90.92</v>
      </c>
      <c r="S359">
        <v>32000</v>
      </c>
      <c r="T359">
        <v>2912000</v>
      </c>
    </row>
    <row r="360" spans="1:20" x14ac:dyDescent="0.25">
      <c r="A360" t="s">
        <v>46</v>
      </c>
      <c r="B360" t="s">
        <v>47</v>
      </c>
      <c r="C360" t="s">
        <v>48</v>
      </c>
      <c r="D360" t="s">
        <v>110</v>
      </c>
      <c r="E360" t="s">
        <v>111</v>
      </c>
      <c r="F360" t="s">
        <v>107</v>
      </c>
      <c r="G360" t="s">
        <v>26</v>
      </c>
      <c r="H360">
        <v>183</v>
      </c>
      <c r="I360">
        <v>1077.68</v>
      </c>
      <c r="J360">
        <v>261.85000000000002</v>
      </c>
      <c r="K360">
        <v>24.3</v>
      </c>
      <c r="L360">
        <v>33.43</v>
      </c>
      <c r="M360">
        <v>3.1</v>
      </c>
      <c r="N360">
        <v>1.06</v>
      </c>
      <c r="O360">
        <v>48.3</v>
      </c>
      <c r="P360">
        <v>0</v>
      </c>
      <c r="Q360">
        <v>78.97</v>
      </c>
      <c r="R360">
        <v>89.92</v>
      </c>
      <c r="S360">
        <v>32000</v>
      </c>
      <c r="T360">
        <v>2912000</v>
      </c>
    </row>
    <row r="361" spans="1:20" x14ac:dyDescent="0.25">
      <c r="A361" t="s">
        <v>49</v>
      </c>
      <c r="B361" t="s">
        <v>50</v>
      </c>
      <c r="C361" t="s">
        <v>48</v>
      </c>
      <c r="D361" t="s">
        <v>110</v>
      </c>
      <c r="E361" t="s">
        <v>111</v>
      </c>
      <c r="F361" t="s">
        <v>107</v>
      </c>
      <c r="G361" t="s">
        <v>26</v>
      </c>
      <c r="H361">
        <v>183</v>
      </c>
      <c r="I361">
        <v>1076.0899999999999</v>
      </c>
      <c r="J361">
        <v>303.58</v>
      </c>
      <c r="K361">
        <v>28.21</v>
      </c>
      <c r="L361">
        <v>83.74</v>
      </c>
      <c r="M361">
        <v>7.78</v>
      </c>
      <c r="N361">
        <v>1.2</v>
      </c>
      <c r="O361">
        <v>11.8</v>
      </c>
      <c r="P361">
        <v>5.67</v>
      </c>
      <c r="Q361">
        <v>86.82</v>
      </c>
      <c r="R361">
        <v>104.25</v>
      </c>
      <c r="S361">
        <v>32000</v>
      </c>
      <c r="T361">
        <v>2912000</v>
      </c>
    </row>
    <row r="362" spans="1:20" x14ac:dyDescent="0.25">
      <c r="A362" t="s">
        <v>51</v>
      </c>
      <c r="B362" t="s">
        <v>52</v>
      </c>
      <c r="C362" t="s">
        <v>48</v>
      </c>
      <c r="D362" t="s">
        <v>110</v>
      </c>
      <c r="E362" t="s">
        <v>111</v>
      </c>
      <c r="F362" t="s">
        <v>107</v>
      </c>
      <c r="G362" t="s">
        <v>26</v>
      </c>
      <c r="H362">
        <v>183</v>
      </c>
      <c r="I362">
        <v>1208.44</v>
      </c>
      <c r="J362">
        <v>237.15</v>
      </c>
      <c r="K362">
        <v>19.62</v>
      </c>
      <c r="L362">
        <v>69.45</v>
      </c>
      <c r="M362">
        <v>5.75</v>
      </c>
      <c r="N362">
        <v>1.24</v>
      </c>
      <c r="O362">
        <v>34.9</v>
      </c>
      <c r="P362">
        <v>0</v>
      </c>
      <c r="Q362">
        <v>72.010000000000005</v>
      </c>
      <c r="R362">
        <v>81.44</v>
      </c>
      <c r="S362">
        <v>32000</v>
      </c>
      <c r="T362">
        <v>2912000</v>
      </c>
    </row>
    <row r="363" spans="1:20" x14ac:dyDescent="0.25">
      <c r="A363" t="s">
        <v>53</v>
      </c>
      <c r="B363" t="s">
        <v>54</v>
      </c>
      <c r="C363" t="s">
        <v>55</v>
      </c>
      <c r="D363" t="s">
        <v>110</v>
      </c>
      <c r="E363" t="s">
        <v>111</v>
      </c>
      <c r="F363" t="s">
        <v>107</v>
      </c>
      <c r="G363" t="s">
        <v>26</v>
      </c>
      <c r="H363">
        <v>183</v>
      </c>
      <c r="I363">
        <v>1463.66</v>
      </c>
      <c r="J363">
        <v>383.31</v>
      </c>
      <c r="K363">
        <v>26.19</v>
      </c>
      <c r="L363">
        <v>121.59</v>
      </c>
      <c r="M363">
        <v>8.31</v>
      </c>
      <c r="N363">
        <v>1.5</v>
      </c>
      <c r="O363">
        <v>25.2</v>
      </c>
      <c r="P363">
        <v>44.68</v>
      </c>
      <c r="Q363">
        <v>109.53</v>
      </c>
      <c r="R363">
        <v>131.63</v>
      </c>
      <c r="S363">
        <v>32000</v>
      </c>
      <c r="T363">
        <v>2912000</v>
      </c>
    </row>
    <row r="364" spans="1:20" x14ac:dyDescent="0.25">
      <c r="A364" t="s">
        <v>56</v>
      </c>
      <c r="B364" t="s">
        <v>57</v>
      </c>
      <c r="C364" t="s">
        <v>55</v>
      </c>
      <c r="D364" t="s">
        <v>110</v>
      </c>
      <c r="E364" t="s">
        <v>111</v>
      </c>
      <c r="F364" t="s">
        <v>107</v>
      </c>
      <c r="G364" t="s">
        <v>26</v>
      </c>
      <c r="H364">
        <v>183</v>
      </c>
      <c r="I364">
        <v>1634.83</v>
      </c>
      <c r="J364">
        <v>275.14999999999998</v>
      </c>
      <c r="K364">
        <v>16.829999999999998</v>
      </c>
      <c r="L364">
        <v>51.64</v>
      </c>
      <c r="M364">
        <v>3.16</v>
      </c>
      <c r="N364">
        <v>1.94</v>
      </c>
      <c r="O364">
        <v>30.5</v>
      </c>
      <c r="P364">
        <v>4.1900000000000004</v>
      </c>
      <c r="Q364">
        <v>80.69</v>
      </c>
      <c r="R364">
        <v>94.49</v>
      </c>
      <c r="S364">
        <v>32000</v>
      </c>
      <c r="T364">
        <v>2912000</v>
      </c>
    </row>
    <row r="365" spans="1:20" x14ac:dyDescent="0.25">
      <c r="A365" t="s">
        <v>58</v>
      </c>
      <c r="B365" t="s">
        <v>59</v>
      </c>
      <c r="C365" t="s">
        <v>55</v>
      </c>
      <c r="D365" t="s">
        <v>110</v>
      </c>
      <c r="E365" t="s">
        <v>111</v>
      </c>
      <c r="F365" t="s">
        <v>107</v>
      </c>
      <c r="G365" t="s">
        <v>26</v>
      </c>
      <c r="H365">
        <v>183</v>
      </c>
      <c r="I365">
        <v>1537.83</v>
      </c>
      <c r="J365">
        <v>307.39</v>
      </c>
      <c r="K365">
        <v>19.989999999999998</v>
      </c>
      <c r="L365">
        <v>121.2</v>
      </c>
      <c r="M365">
        <v>7.88</v>
      </c>
      <c r="N365">
        <v>1.81</v>
      </c>
      <c r="O365">
        <v>59.3</v>
      </c>
      <c r="P365">
        <v>31.51</v>
      </c>
      <c r="Q365">
        <v>93.25</v>
      </c>
      <c r="R365">
        <v>105.56</v>
      </c>
      <c r="S365">
        <v>32000</v>
      </c>
      <c r="T365">
        <v>2912000</v>
      </c>
    </row>
    <row r="366" spans="1:20" x14ac:dyDescent="0.25">
      <c r="A366" t="s">
        <v>60</v>
      </c>
      <c r="B366" t="s">
        <v>61</v>
      </c>
      <c r="C366" t="s">
        <v>62</v>
      </c>
      <c r="D366" t="s">
        <v>110</v>
      </c>
      <c r="E366" t="s">
        <v>111</v>
      </c>
      <c r="F366" t="s">
        <v>107</v>
      </c>
      <c r="G366" t="s">
        <v>26</v>
      </c>
      <c r="H366">
        <v>183</v>
      </c>
      <c r="I366">
        <v>1634.83</v>
      </c>
      <c r="J366">
        <v>282.83999999999997</v>
      </c>
      <c r="K366">
        <v>17.3</v>
      </c>
      <c r="L366">
        <v>124.16</v>
      </c>
      <c r="M366">
        <v>7.59</v>
      </c>
      <c r="N366">
        <v>1.94</v>
      </c>
      <c r="O366">
        <v>3.4</v>
      </c>
      <c r="P366">
        <v>0.76</v>
      </c>
      <c r="Q366">
        <v>84.29</v>
      </c>
      <c r="R366">
        <v>97.13</v>
      </c>
      <c r="S366">
        <v>32000</v>
      </c>
      <c r="T366">
        <v>2912000</v>
      </c>
    </row>
    <row r="367" spans="1:20" x14ac:dyDescent="0.25">
      <c r="A367" t="s">
        <v>63</v>
      </c>
      <c r="B367" t="s">
        <v>64</v>
      </c>
      <c r="C367" t="s">
        <v>62</v>
      </c>
      <c r="D367" t="s">
        <v>110</v>
      </c>
      <c r="E367" t="s">
        <v>111</v>
      </c>
      <c r="F367" t="s">
        <v>107</v>
      </c>
      <c r="G367" t="s">
        <v>26</v>
      </c>
      <c r="H367">
        <v>183</v>
      </c>
      <c r="I367">
        <v>1702.3</v>
      </c>
      <c r="J367">
        <v>296.94</v>
      </c>
      <c r="K367">
        <v>17.440000000000001</v>
      </c>
      <c r="L367">
        <v>98.31</v>
      </c>
      <c r="M367">
        <v>5.78</v>
      </c>
      <c r="N367">
        <v>1.85</v>
      </c>
      <c r="O367">
        <v>62</v>
      </c>
      <c r="P367">
        <v>24.49</v>
      </c>
      <c r="Q367">
        <v>88.18</v>
      </c>
      <c r="R367">
        <v>101.97</v>
      </c>
      <c r="S367">
        <v>32000</v>
      </c>
      <c r="T367">
        <v>2912000</v>
      </c>
    </row>
    <row r="368" spans="1:20" x14ac:dyDescent="0.25">
      <c r="A368" t="s">
        <v>65</v>
      </c>
      <c r="B368" t="s">
        <v>66</v>
      </c>
      <c r="C368" t="s">
        <v>62</v>
      </c>
      <c r="D368" t="s">
        <v>110</v>
      </c>
      <c r="E368" t="s">
        <v>111</v>
      </c>
      <c r="F368" t="s">
        <v>107</v>
      </c>
      <c r="G368" t="s">
        <v>26</v>
      </c>
      <c r="H368">
        <v>183</v>
      </c>
      <c r="I368">
        <v>1666.52</v>
      </c>
      <c r="J368">
        <v>283.98</v>
      </c>
      <c r="K368">
        <v>17.04</v>
      </c>
      <c r="L368">
        <v>153.88999999999999</v>
      </c>
      <c r="M368">
        <v>9.23</v>
      </c>
      <c r="N368">
        <v>1.66</v>
      </c>
      <c r="O368">
        <v>18</v>
      </c>
      <c r="P368">
        <v>4.2699999999999996</v>
      </c>
      <c r="Q368">
        <v>85.16</v>
      </c>
      <c r="R368">
        <v>97.52</v>
      </c>
      <c r="S368">
        <v>32000</v>
      </c>
      <c r="T368">
        <v>2912000</v>
      </c>
    </row>
    <row r="369" spans="1:20" x14ac:dyDescent="0.25">
      <c r="A369" t="s">
        <v>67</v>
      </c>
      <c r="B369" t="s">
        <v>68</v>
      </c>
      <c r="C369" t="s">
        <v>69</v>
      </c>
      <c r="D369" t="s">
        <v>110</v>
      </c>
      <c r="E369" t="s">
        <v>111</v>
      </c>
      <c r="F369" t="s">
        <v>107</v>
      </c>
      <c r="G369" t="s">
        <v>26</v>
      </c>
      <c r="H369">
        <v>183</v>
      </c>
      <c r="I369">
        <v>1544.39</v>
      </c>
      <c r="J369">
        <v>261.95999999999998</v>
      </c>
      <c r="K369">
        <v>16.96</v>
      </c>
      <c r="L369">
        <v>196.91</v>
      </c>
      <c r="M369">
        <v>12.75</v>
      </c>
      <c r="N369">
        <v>1.74</v>
      </c>
      <c r="O369">
        <v>7.7</v>
      </c>
      <c r="P369">
        <v>0</v>
      </c>
      <c r="Q369">
        <v>78.33</v>
      </c>
      <c r="R369">
        <v>89.96</v>
      </c>
      <c r="S369">
        <v>32000</v>
      </c>
      <c r="T369">
        <v>2912000</v>
      </c>
    </row>
    <row r="370" spans="1:20" x14ac:dyDescent="0.25">
      <c r="A370" t="s">
        <v>70</v>
      </c>
      <c r="B370" t="s">
        <v>71</v>
      </c>
      <c r="C370" t="s">
        <v>69</v>
      </c>
      <c r="D370" t="s">
        <v>110</v>
      </c>
      <c r="E370" t="s">
        <v>111</v>
      </c>
      <c r="F370" t="s">
        <v>107</v>
      </c>
      <c r="G370" t="s">
        <v>26</v>
      </c>
      <c r="H370">
        <v>183</v>
      </c>
      <c r="I370">
        <v>1620.53</v>
      </c>
      <c r="J370">
        <v>288.35000000000002</v>
      </c>
      <c r="K370">
        <v>17.79</v>
      </c>
      <c r="L370">
        <v>196.31</v>
      </c>
      <c r="M370">
        <v>12.11</v>
      </c>
      <c r="N370">
        <v>1.64</v>
      </c>
      <c r="O370">
        <v>15</v>
      </c>
      <c r="P370">
        <v>4.33</v>
      </c>
      <c r="Q370">
        <v>84.61</v>
      </c>
      <c r="R370">
        <v>99.02</v>
      </c>
      <c r="S370">
        <v>32000</v>
      </c>
      <c r="T370">
        <v>2912000</v>
      </c>
    </row>
    <row r="371" spans="1:20" x14ac:dyDescent="0.25">
      <c r="A371" t="s">
        <v>72</v>
      </c>
      <c r="B371" t="s">
        <v>73</v>
      </c>
      <c r="C371" t="s">
        <v>69</v>
      </c>
      <c r="D371" t="s">
        <v>110</v>
      </c>
      <c r="E371" t="s">
        <v>111</v>
      </c>
      <c r="F371" t="s">
        <v>107</v>
      </c>
      <c r="G371" t="s">
        <v>26</v>
      </c>
      <c r="H371">
        <v>183</v>
      </c>
      <c r="I371">
        <v>1658.12</v>
      </c>
      <c r="J371">
        <v>296.38</v>
      </c>
      <c r="K371">
        <v>17.87</v>
      </c>
      <c r="L371">
        <v>90.36</v>
      </c>
      <c r="M371">
        <v>5.45</v>
      </c>
      <c r="N371">
        <v>1.77</v>
      </c>
      <c r="O371">
        <v>63.8</v>
      </c>
      <c r="P371">
        <v>24.75</v>
      </c>
      <c r="Q371">
        <v>84.06</v>
      </c>
      <c r="R371">
        <v>101.78</v>
      </c>
      <c r="S371">
        <v>32000</v>
      </c>
      <c r="T371">
        <v>2912000</v>
      </c>
    </row>
    <row r="372" spans="1:20" x14ac:dyDescent="0.25">
      <c r="A372" t="s">
        <v>74</v>
      </c>
      <c r="B372" t="s">
        <v>75</v>
      </c>
      <c r="C372" t="s">
        <v>69</v>
      </c>
      <c r="D372" t="s">
        <v>110</v>
      </c>
      <c r="E372" t="s">
        <v>111</v>
      </c>
      <c r="F372" t="s">
        <v>107</v>
      </c>
      <c r="G372" t="s">
        <v>26</v>
      </c>
      <c r="H372">
        <v>183</v>
      </c>
      <c r="I372">
        <v>1658.64</v>
      </c>
      <c r="J372">
        <v>273.67</v>
      </c>
      <c r="K372">
        <v>16.5</v>
      </c>
      <c r="L372">
        <v>182.7</v>
      </c>
      <c r="M372">
        <v>11.02</v>
      </c>
      <c r="N372">
        <v>1.87</v>
      </c>
      <c r="O372">
        <v>13.8</v>
      </c>
      <c r="P372">
        <v>1.67</v>
      </c>
      <c r="Q372">
        <v>80.400000000000006</v>
      </c>
      <c r="R372">
        <v>93.98</v>
      </c>
      <c r="S372">
        <v>32000</v>
      </c>
      <c r="T372">
        <v>2912000</v>
      </c>
    </row>
    <row r="373" spans="1:20" x14ac:dyDescent="0.25">
      <c r="A373" t="s">
        <v>76</v>
      </c>
      <c r="B373" t="s">
        <v>77</v>
      </c>
      <c r="C373" t="s">
        <v>69</v>
      </c>
      <c r="D373" t="s">
        <v>110</v>
      </c>
      <c r="E373" t="s">
        <v>111</v>
      </c>
      <c r="F373" t="s">
        <v>107</v>
      </c>
      <c r="G373" t="s">
        <v>26</v>
      </c>
      <c r="H373">
        <v>183</v>
      </c>
      <c r="I373">
        <v>1722.49</v>
      </c>
      <c r="J373">
        <v>327.66000000000003</v>
      </c>
      <c r="K373">
        <v>19.02</v>
      </c>
      <c r="L373">
        <v>89.92</v>
      </c>
      <c r="M373">
        <v>5.22</v>
      </c>
      <c r="N373">
        <v>2.04</v>
      </c>
      <c r="O373">
        <v>14</v>
      </c>
      <c r="P373">
        <v>11.48</v>
      </c>
      <c r="Q373">
        <v>94.78</v>
      </c>
      <c r="R373">
        <v>112.52</v>
      </c>
      <c r="S373">
        <v>32000</v>
      </c>
      <c r="T373">
        <v>2912000</v>
      </c>
    </row>
    <row r="374" spans="1:20" x14ac:dyDescent="0.25">
      <c r="A374" t="s">
        <v>78</v>
      </c>
      <c r="B374" t="s">
        <v>79</v>
      </c>
      <c r="C374" t="s">
        <v>80</v>
      </c>
      <c r="D374" t="s">
        <v>110</v>
      </c>
      <c r="E374" t="s">
        <v>111</v>
      </c>
      <c r="F374" t="s">
        <v>107</v>
      </c>
      <c r="G374" t="s">
        <v>26</v>
      </c>
      <c r="H374">
        <v>183</v>
      </c>
      <c r="I374">
        <v>1745.44</v>
      </c>
      <c r="J374">
        <v>295.68</v>
      </c>
      <c r="K374">
        <v>16.940000000000001</v>
      </c>
      <c r="L374">
        <v>209.1</v>
      </c>
      <c r="M374">
        <v>11.98</v>
      </c>
      <c r="N374">
        <v>1.78</v>
      </c>
      <c r="O374">
        <v>10.4</v>
      </c>
      <c r="P374">
        <v>3.94</v>
      </c>
      <c r="Q374">
        <v>85.13</v>
      </c>
      <c r="R374">
        <v>101.54</v>
      </c>
      <c r="S374">
        <v>32000</v>
      </c>
      <c r="T374">
        <v>2912000</v>
      </c>
    </row>
    <row r="375" spans="1:20" x14ac:dyDescent="0.25">
      <c r="A375" t="s">
        <v>81</v>
      </c>
      <c r="B375" t="s">
        <v>82</v>
      </c>
      <c r="C375" t="s">
        <v>80</v>
      </c>
      <c r="D375" t="s">
        <v>110</v>
      </c>
      <c r="E375" t="s">
        <v>111</v>
      </c>
      <c r="F375" t="s">
        <v>107</v>
      </c>
      <c r="G375" t="s">
        <v>26</v>
      </c>
      <c r="H375">
        <v>183</v>
      </c>
      <c r="I375">
        <v>1561.61</v>
      </c>
      <c r="J375">
        <v>350.69</v>
      </c>
      <c r="K375">
        <v>22.46</v>
      </c>
      <c r="L375">
        <v>101.09</v>
      </c>
      <c r="M375">
        <v>6.47</v>
      </c>
      <c r="N375">
        <v>1.76</v>
      </c>
      <c r="O375">
        <v>33.799999999999997</v>
      </c>
      <c r="P375">
        <v>40.08</v>
      </c>
      <c r="Q375">
        <v>101.77</v>
      </c>
      <c r="R375">
        <v>120.43</v>
      </c>
      <c r="S375">
        <v>32000</v>
      </c>
      <c r="T375">
        <v>2912000</v>
      </c>
    </row>
    <row r="376" spans="1:20" x14ac:dyDescent="0.25">
      <c r="A376" t="s">
        <v>83</v>
      </c>
      <c r="B376" t="s">
        <v>84</v>
      </c>
      <c r="C376" t="s">
        <v>80</v>
      </c>
      <c r="D376" t="s">
        <v>110</v>
      </c>
      <c r="E376" t="s">
        <v>111</v>
      </c>
      <c r="F376" t="s">
        <v>107</v>
      </c>
      <c r="G376" t="s">
        <v>26</v>
      </c>
      <c r="H376">
        <v>183</v>
      </c>
      <c r="I376">
        <v>1673.32</v>
      </c>
      <c r="J376">
        <v>326.77999999999997</v>
      </c>
      <c r="K376">
        <v>19.53</v>
      </c>
      <c r="L376">
        <v>72.14</v>
      </c>
      <c r="M376">
        <v>4.3099999999999996</v>
      </c>
      <c r="N376">
        <v>1.67</v>
      </c>
      <c r="O376">
        <v>45</v>
      </c>
      <c r="P376">
        <v>36.31</v>
      </c>
      <c r="Q376">
        <v>93.24</v>
      </c>
      <c r="R376">
        <v>112.22</v>
      </c>
      <c r="S376">
        <v>32000</v>
      </c>
      <c r="T376">
        <v>2912000</v>
      </c>
    </row>
    <row r="377" spans="1:20" x14ac:dyDescent="0.25">
      <c r="A377" t="s">
        <v>85</v>
      </c>
      <c r="B377" t="s">
        <v>86</v>
      </c>
      <c r="C377" t="s">
        <v>80</v>
      </c>
      <c r="D377" t="s">
        <v>110</v>
      </c>
      <c r="E377" t="s">
        <v>111</v>
      </c>
      <c r="F377" t="s">
        <v>107</v>
      </c>
      <c r="G377" t="s">
        <v>26</v>
      </c>
      <c r="H377">
        <v>183</v>
      </c>
      <c r="I377">
        <v>1722.87</v>
      </c>
      <c r="J377">
        <v>325.18</v>
      </c>
      <c r="K377">
        <v>18.87</v>
      </c>
      <c r="L377">
        <v>130.84</v>
      </c>
      <c r="M377">
        <v>7.59</v>
      </c>
      <c r="N377">
        <v>1.76</v>
      </c>
      <c r="O377">
        <v>20</v>
      </c>
      <c r="P377">
        <v>15.66</v>
      </c>
      <c r="Q377">
        <v>99.34</v>
      </c>
      <c r="R377">
        <v>111.67</v>
      </c>
      <c r="S377">
        <v>32000</v>
      </c>
      <c r="T377">
        <v>2912000</v>
      </c>
    </row>
    <row r="378" spans="1:20" x14ac:dyDescent="0.25">
      <c r="A378" t="s">
        <v>87</v>
      </c>
      <c r="B378" t="s">
        <v>88</v>
      </c>
      <c r="C378" t="s">
        <v>89</v>
      </c>
      <c r="D378" t="s">
        <v>110</v>
      </c>
      <c r="E378" t="s">
        <v>111</v>
      </c>
      <c r="F378" t="s">
        <v>107</v>
      </c>
      <c r="G378" t="s">
        <v>26</v>
      </c>
      <c r="H378">
        <v>183</v>
      </c>
      <c r="I378">
        <v>1271.4100000000001</v>
      </c>
      <c r="J378">
        <v>427.48</v>
      </c>
      <c r="K378">
        <v>33.619999999999997</v>
      </c>
      <c r="L378">
        <v>-157.62</v>
      </c>
      <c r="M378">
        <v>-12.4</v>
      </c>
      <c r="N378">
        <v>1.36</v>
      </c>
      <c r="O378">
        <v>58.3</v>
      </c>
      <c r="P378">
        <v>157.29</v>
      </c>
      <c r="Q378">
        <v>130.88</v>
      </c>
      <c r="R378">
        <v>146.80000000000001</v>
      </c>
      <c r="S378">
        <v>32000</v>
      </c>
      <c r="T378">
        <v>2912000</v>
      </c>
    </row>
    <row r="379" spans="1:20" x14ac:dyDescent="0.25">
      <c r="A379" t="s">
        <v>20</v>
      </c>
      <c r="B379" t="s">
        <v>21</v>
      </c>
      <c r="C379" t="s">
        <v>22</v>
      </c>
      <c r="D379" t="s">
        <v>112</v>
      </c>
      <c r="E379" t="s">
        <v>113</v>
      </c>
      <c r="F379" t="s">
        <v>107</v>
      </c>
      <c r="G379" t="s">
        <v>26</v>
      </c>
      <c r="H379">
        <v>169</v>
      </c>
      <c r="I379">
        <v>2956.36</v>
      </c>
      <c r="J379">
        <v>271.47000000000003</v>
      </c>
      <c r="K379">
        <v>9.18</v>
      </c>
      <c r="L379">
        <v>171.88</v>
      </c>
      <c r="M379">
        <v>5.81</v>
      </c>
      <c r="N379">
        <v>1.56</v>
      </c>
      <c r="O379">
        <v>30.2</v>
      </c>
      <c r="P379">
        <v>0</v>
      </c>
      <c r="Q379">
        <v>63</v>
      </c>
      <c r="R379">
        <v>74.58</v>
      </c>
      <c r="S379">
        <v>40000</v>
      </c>
      <c r="T379">
        <v>3640000</v>
      </c>
    </row>
    <row r="380" spans="1:20" x14ac:dyDescent="0.25">
      <c r="A380" t="s">
        <v>27</v>
      </c>
      <c r="B380" t="s">
        <v>28</v>
      </c>
      <c r="C380" t="s">
        <v>22</v>
      </c>
      <c r="D380" t="s">
        <v>112</v>
      </c>
      <c r="E380" t="s">
        <v>113</v>
      </c>
      <c r="F380" t="s">
        <v>107</v>
      </c>
      <c r="G380" t="s">
        <v>26</v>
      </c>
      <c r="H380">
        <v>169</v>
      </c>
      <c r="I380">
        <v>3102.57</v>
      </c>
      <c r="J380">
        <v>266.95999999999998</v>
      </c>
      <c r="K380">
        <v>8.6</v>
      </c>
      <c r="L380">
        <v>393.84</v>
      </c>
      <c r="M380">
        <v>12.69</v>
      </c>
      <c r="N380">
        <v>1.62</v>
      </c>
      <c r="O380">
        <v>0.2</v>
      </c>
      <c r="P380">
        <v>0</v>
      </c>
      <c r="Q380">
        <v>64.790000000000006</v>
      </c>
      <c r="R380">
        <v>73.34</v>
      </c>
      <c r="S380">
        <v>40000</v>
      </c>
      <c r="T380">
        <v>3640000</v>
      </c>
    </row>
    <row r="381" spans="1:20" x14ac:dyDescent="0.25">
      <c r="A381" t="s">
        <v>29</v>
      </c>
      <c r="B381" t="s">
        <v>30</v>
      </c>
      <c r="C381" t="s">
        <v>22</v>
      </c>
      <c r="D381" t="s">
        <v>112</v>
      </c>
      <c r="E381" t="s">
        <v>113</v>
      </c>
      <c r="F381" t="s">
        <v>107</v>
      </c>
      <c r="G381" t="s">
        <v>26</v>
      </c>
      <c r="H381">
        <v>169</v>
      </c>
      <c r="I381">
        <v>3135.92</v>
      </c>
      <c r="J381">
        <v>258.83999999999997</v>
      </c>
      <c r="K381">
        <v>8.25</v>
      </c>
      <c r="L381">
        <v>197</v>
      </c>
      <c r="M381">
        <v>6.28</v>
      </c>
      <c r="N381">
        <v>1.85</v>
      </c>
      <c r="O381">
        <v>35.799999999999997</v>
      </c>
      <c r="P381">
        <v>0</v>
      </c>
      <c r="Q381">
        <v>60.46</v>
      </c>
      <c r="R381">
        <v>71.11</v>
      </c>
      <c r="S381">
        <v>40000</v>
      </c>
      <c r="T381">
        <v>3640000</v>
      </c>
    </row>
    <row r="382" spans="1:20" x14ac:dyDescent="0.25">
      <c r="A382" t="s">
        <v>31</v>
      </c>
      <c r="B382" t="s">
        <v>32</v>
      </c>
      <c r="C382" t="s">
        <v>22</v>
      </c>
      <c r="D382" t="s">
        <v>112</v>
      </c>
      <c r="E382" t="s">
        <v>113</v>
      </c>
      <c r="F382" t="s">
        <v>107</v>
      </c>
      <c r="G382" t="s">
        <v>26</v>
      </c>
      <c r="H382">
        <v>169</v>
      </c>
      <c r="I382">
        <v>2957.48</v>
      </c>
      <c r="J382">
        <v>280.17</v>
      </c>
      <c r="K382">
        <v>9.4700000000000006</v>
      </c>
      <c r="L382">
        <v>161.69999999999999</v>
      </c>
      <c r="M382">
        <v>5.47</v>
      </c>
      <c r="N382">
        <v>1.7</v>
      </c>
      <c r="O382">
        <v>53.2</v>
      </c>
      <c r="P382">
        <v>0</v>
      </c>
      <c r="Q382">
        <v>65.66</v>
      </c>
      <c r="R382">
        <v>76.97</v>
      </c>
      <c r="S382">
        <v>40000</v>
      </c>
      <c r="T382">
        <v>3640000</v>
      </c>
    </row>
    <row r="383" spans="1:20" x14ac:dyDescent="0.25">
      <c r="A383" t="s">
        <v>33</v>
      </c>
      <c r="B383" t="s">
        <v>34</v>
      </c>
      <c r="C383" t="s">
        <v>22</v>
      </c>
      <c r="D383" t="s">
        <v>112</v>
      </c>
      <c r="E383" t="s">
        <v>113</v>
      </c>
      <c r="F383" t="s">
        <v>107</v>
      </c>
      <c r="G383" t="s">
        <v>26</v>
      </c>
      <c r="H383">
        <v>169</v>
      </c>
      <c r="I383">
        <v>2979.33</v>
      </c>
      <c r="J383">
        <v>274.38</v>
      </c>
      <c r="K383">
        <v>9.2100000000000009</v>
      </c>
      <c r="L383">
        <v>252.16</v>
      </c>
      <c r="M383">
        <v>8.4600000000000009</v>
      </c>
      <c r="N383">
        <v>1.74</v>
      </c>
      <c r="O383">
        <v>32.5</v>
      </c>
      <c r="P383">
        <v>0</v>
      </c>
      <c r="Q383">
        <v>66.66</v>
      </c>
      <c r="R383">
        <v>75.38</v>
      </c>
      <c r="S383">
        <v>40000</v>
      </c>
      <c r="T383">
        <v>3640000</v>
      </c>
    </row>
    <row r="384" spans="1:20" x14ac:dyDescent="0.25">
      <c r="A384" t="s">
        <v>35</v>
      </c>
      <c r="B384" t="s">
        <v>36</v>
      </c>
      <c r="C384" t="s">
        <v>37</v>
      </c>
      <c r="D384" t="s">
        <v>112</v>
      </c>
      <c r="E384" t="s">
        <v>113</v>
      </c>
      <c r="F384" t="s">
        <v>107</v>
      </c>
      <c r="G384" t="s">
        <v>26</v>
      </c>
      <c r="H384">
        <v>169</v>
      </c>
      <c r="I384">
        <v>906.01</v>
      </c>
      <c r="J384">
        <v>86.23</v>
      </c>
      <c r="K384">
        <v>9.52</v>
      </c>
      <c r="L384">
        <v>-395.45</v>
      </c>
      <c r="M384">
        <v>-43.65</v>
      </c>
      <c r="N384">
        <v>0.54</v>
      </c>
      <c r="O384">
        <v>17</v>
      </c>
      <c r="P384">
        <v>0</v>
      </c>
      <c r="Q384">
        <v>20.57</v>
      </c>
      <c r="R384">
        <v>23.69</v>
      </c>
      <c r="S384">
        <v>40000</v>
      </c>
      <c r="T384">
        <v>3640000</v>
      </c>
    </row>
    <row r="385" spans="1:20" x14ac:dyDescent="0.25">
      <c r="A385" t="s">
        <v>38</v>
      </c>
      <c r="B385" t="s">
        <v>39</v>
      </c>
      <c r="C385" t="s">
        <v>37</v>
      </c>
      <c r="D385" t="s">
        <v>112</v>
      </c>
      <c r="E385" t="s">
        <v>113</v>
      </c>
      <c r="F385" t="s">
        <v>107</v>
      </c>
      <c r="G385" t="s">
        <v>26</v>
      </c>
      <c r="H385">
        <v>169</v>
      </c>
      <c r="I385">
        <v>542.32000000000005</v>
      </c>
      <c r="J385">
        <v>183.57</v>
      </c>
      <c r="K385">
        <v>33.85</v>
      </c>
      <c r="L385">
        <v>-239.67</v>
      </c>
      <c r="M385">
        <v>-44.19</v>
      </c>
      <c r="N385">
        <v>0.32</v>
      </c>
      <c r="O385">
        <v>3.9</v>
      </c>
      <c r="P385">
        <v>0</v>
      </c>
      <c r="Q385">
        <v>44.05</v>
      </c>
      <c r="R385">
        <v>50.43</v>
      </c>
      <c r="S385">
        <v>40000</v>
      </c>
      <c r="T385">
        <v>3640000</v>
      </c>
    </row>
    <row r="386" spans="1:20" x14ac:dyDescent="0.25">
      <c r="A386" t="s">
        <v>40</v>
      </c>
      <c r="B386" t="s">
        <v>41</v>
      </c>
      <c r="C386" t="s">
        <v>37</v>
      </c>
      <c r="D386" t="s">
        <v>112</v>
      </c>
      <c r="E386" t="s">
        <v>113</v>
      </c>
      <c r="F386" t="s">
        <v>107</v>
      </c>
      <c r="G386" t="s">
        <v>26</v>
      </c>
      <c r="H386">
        <v>169</v>
      </c>
      <c r="I386">
        <v>1005.61</v>
      </c>
      <c r="J386">
        <v>166.2</v>
      </c>
      <c r="K386">
        <v>16.53</v>
      </c>
      <c r="L386">
        <v>-310.52</v>
      </c>
      <c r="M386">
        <v>-30.88</v>
      </c>
      <c r="N386">
        <v>0.57999999999999996</v>
      </c>
      <c r="O386">
        <v>47.1</v>
      </c>
      <c r="P386">
        <v>0</v>
      </c>
      <c r="Q386">
        <v>39.950000000000003</v>
      </c>
      <c r="R386">
        <v>45.66</v>
      </c>
      <c r="S386">
        <v>40000</v>
      </c>
      <c r="T386">
        <v>3640000</v>
      </c>
    </row>
    <row r="387" spans="1:20" x14ac:dyDescent="0.25">
      <c r="A387" t="s">
        <v>42</v>
      </c>
      <c r="B387" t="s">
        <v>43</v>
      </c>
      <c r="C387" t="s">
        <v>37</v>
      </c>
      <c r="D387" t="s">
        <v>112</v>
      </c>
      <c r="E387" t="s">
        <v>113</v>
      </c>
      <c r="F387" t="s">
        <v>107</v>
      </c>
      <c r="G387" t="s">
        <v>26</v>
      </c>
      <c r="H387">
        <v>169</v>
      </c>
      <c r="I387">
        <v>615.17999999999995</v>
      </c>
      <c r="J387">
        <v>312.2</v>
      </c>
      <c r="K387">
        <v>50.75</v>
      </c>
      <c r="L387">
        <v>-152.80000000000001</v>
      </c>
      <c r="M387">
        <v>-24.84</v>
      </c>
      <c r="N387">
        <v>0.37</v>
      </c>
      <c r="O387">
        <v>24</v>
      </c>
      <c r="P387">
        <v>0</v>
      </c>
      <c r="Q387">
        <v>75.489999999999995</v>
      </c>
      <c r="R387">
        <v>85.77</v>
      </c>
      <c r="S387">
        <v>40000</v>
      </c>
      <c r="T387">
        <v>3640000</v>
      </c>
    </row>
    <row r="388" spans="1:20" x14ac:dyDescent="0.25">
      <c r="A388" t="s">
        <v>44</v>
      </c>
      <c r="B388" t="s">
        <v>45</v>
      </c>
      <c r="C388" t="s">
        <v>37</v>
      </c>
      <c r="D388" t="s">
        <v>112</v>
      </c>
      <c r="E388" t="s">
        <v>113</v>
      </c>
      <c r="F388" t="s">
        <v>107</v>
      </c>
      <c r="G388" t="s">
        <v>26</v>
      </c>
      <c r="H388">
        <v>169</v>
      </c>
      <c r="I388">
        <v>935.36</v>
      </c>
      <c r="J388">
        <v>330.95</v>
      </c>
      <c r="K388">
        <v>35.380000000000003</v>
      </c>
      <c r="L388">
        <v>-240.38</v>
      </c>
      <c r="M388">
        <v>-25.7</v>
      </c>
      <c r="N388">
        <v>0.53</v>
      </c>
      <c r="O388">
        <v>23.9</v>
      </c>
      <c r="P388">
        <v>0.81</v>
      </c>
      <c r="Q388">
        <v>76.83</v>
      </c>
      <c r="R388">
        <v>90.92</v>
      </c>
      <c r="S388">
        <v>40000</v>
      </c>
      <c r="T388">
        <v>3640000</v>
      </c>
    </row>
    <row r="389" spans="1:20" x14ac:dyDescent="0.25">
      <c r="A389" t="s">
        <v>46</v>
      </c>
      <c r="B389" t="s">
        <v>47</v>
      </c>
      <c r="C389" t="s">
        <v>48</v>
      </c>
      <c r="D389" t="s">
        <v>112</v>
      </c>
      <c r="E389" t="s">
        <v>113</v>
      </c>
      <c r="F389" t="s">
        <v>107</v>
      </c>
      <c r="G389" t="s">
        <v>26</v>
      </c>
      <c r="H389">
        <v>169</v>
      </c>
      <c r="I389">
        <v>2162.46</v>
      </c>
      <c r="J389">
        <v>327.31</v>
      </c>
      <c r="K389">
        <v>15.14</v>
      </c>
      <c r="L389">
        <v>-21.65</v>
      </c>
      <c r="M389">
        <v>-1</v>
      </c>
      <c r="N389">
        <v>1.18</v>
      </c>
      <c r="O389">
        <v>64.3</v>
      </c>
      <c r="P389">
        <v>0</v>
      </c>
      <c r="Q389">
        <v>78.97</v>
      </c>
      <c r="R389">
        <v>89.92</v>
      </c>
      <c r="S389">
        <v>40000</v>
      </c>
      <c r="T389">
        <v>3640000</v>
      </c>
    </row>
    <row r="390" spans="1:20" x14ac:dyDescent="0.25">
      <c r="A390" t="s">
        <v>49</v>
      </c>
      <c r="B390" t="s">
        <v>50</v>
      </c>
      <c r="C390" t="s">
        <v>48</v>
      </c>
      <c r="D390" t="s">
        <v>112</v>
      </c>
      <c r="E390" t="s">
        <v>113</v>
      </c>
      <c r="F390" t="s">
        <v>107</v>
      </c>
      <c r="G390" t="s">
        <v>26</v>
      </c>
      <c r="H390">
        <v>169</v>
      </c>
      <c r="I390">
        <v>2131.91</v>
      </c>
      <c r="J390">
        <v>379.47</v>
      </c>
      <c r="K390">
        <v>17.8</v>
      </c>
      <c r="L390">
        <v>77.849999999999994</v>
      </c>
      <c r="M390">
        <v>3.65</v>
      </c>
      <c r="N390">
        <v>1.1399999999999999</v>
      </c>
      <c r="O390">
        <v>30.3</v>
      </c>
      <c r="P390">
        <v>18.21</v>
      </c>
      <c r="Q390">
        <v>86.82</v>
      </c>
      <c r="R390">
        <v>104.25</v>
      </c>
      <c r="S390">
        <v>40000</v>
      </c>
      <c r="T390">
        <v>3640000</v>
      </c>
    </row>
    <row r="391" spans="1:20" x14ac:dyDescent="0.25">
      <c r="A391" t="s">
        <v>51</v>
      </c>
      <c r="B391" t="s">
        <v>52</v>
      </c>
      <c r="C391" t="s">
        <v>48</v>
      </c>
      <c r="D391" t="s">
        <v>112</v>
      </c>
      <c r="E391" t="s">
        <v>113</v>
      </c>
      <c r="F391" t="s">
        <v>107</v>
      </c>
      <c r="G391" t="s">
        <v>26</v>
      </c>
      <c r="H391">
        <v>169</v>
      </c>
      <c r="I391">
        <v>1966.93</v>
      </c>
      <c r="J391">
        <v>296.44</v>
      </c>
      <c r="K391">
        <v>15.07</v>
      </c>
      <c r="L391">
        <v>96.81</v>
      </c>
      <c r="M391">
        <v>4.92</v>
      </c>
      <c r="N391">
        <v>1.1299999999999999</v>
      </c>
      <c r="O391">
        <v>22.6</v>
      </c>
      <c r="P391">
        <v>0</v>
      </c>
      <c r="Q391">
        <v>72.010000000000005</v>
      </c>
      <c r="R391">
        <v>81.44</v>
      </c>
      <c r="S391">
        <v>40000</v>
      </c>
      <c r="T391">
        <v>3640000</v>
      </c>
    </row>
    <row r="392" spans="1:20" x14ac:dyDescent="0.25">
      <c r="A392" t="s">
        <v>53</v>
      </c>
      <c r="B392" t="s">
        <v>54</v>
      </c>
      <c r="C392" t="s">
        <v>55</v>
      </c>
      <c r="D392" t="s">
        <v>112</v>
      </c>
      <c r="E392" t="s">
        <v>113</v>
      </c>
      <c r="F392" t="s">
        <v>107</v>
      </c>
      <c r="G392" t="s">
        <v>26</v>
      </c>
      <c r="H392">
        <v>169</v>
      </c>
      <c r="I392">
        <v>2964.66</v>
      </c>
      <c r="J392">
        <v>479.13</v>
      </c>
      <c r="K392">
        <v>16.16</v>
      </c>
      <c r="L392">
        <v>266.16000000000003</v>
      </c>
      <c r="M392">
        <v>8.98</v>
      </c>
      <c r="N392">
        <v>1.5</v>
      </c>
      <c r="O392">
        <v>60.5</v>
      </c>
      <c r="P392">
        <v>134.08000000000001</v>
      </c>
      <c r="Q392">
        <v>109.53</v>
      </c>
      <c r="R392">
        <v>131.63</v>
      </c>
      <c r="S392">
        <v>40000</v>
      </c>
      <c r="T392">
        <v>3640000</v>
      </c>
    </row>
    <row r="393" spans="1:20" x14ac:dyDescent="0.25">
      <c r="A393" t="s">
        <v>56</v>
      </c>
      <c r="B393" t="s">
        <v>57</v>
      </c>
      <c r="C393" t="s">
        <v>55</v>
      </c>
      <c r="D393" t="s">
        <v>112</v>
      </c>
      <c r="E393" t="s">
        <v>113</v>
      </c>
      <c r="F393" t="s">
        <v>107</v>
      </c>
      <c r="G393" t="s">
        <v>26</v>
      </c>
      <c r="H393">
        <v>169</v>
      </c>
      <c r="I393">
        <v>2932.77</v>
      </c>
      <c r="J393">
        <v>343.94</v>
      </c>
      <c r="K393">
        <v>11.73</v>
      </c>
      <c r="L393">
        <v>260.35000000000002</v>
      </c>
      <c r="M393">
        <v>8.8800000000000008</v>
      </c>
      <c r="N393">
        <v>1.75</v>
      </c>
      <c r="O393">
        <v>3.8</v>
      </c>
      <c r="P393">
        <v>0.65</v>
      </c>
      <c r="Q393">
        <v>80.69</v>
      </c>
      <c r="R393">
        <v>94.49</v>
      </c>
      <c r="S393">
        <v>40000</v>
      </c>
      <c r="T393">
        <v>3640000</v>
      </c>
    </row>
    <row r="394" spans="1:20" x14ac:dyDescent="0.25">
      <c r="A394" t="s">
        <v>58</v>
      </c>
      <c r="B394" t="s">
        <v>59</v>
      </c>
      <c r="C394" t="s">
        <v>55</v>
      </c>
      <c r="D394" t="s">
        <v>112</v>
      </c>
      <c r="E394" t="s">
        <v>113</v>
      </c>
      <c r="F394" t="s">
        <v>107</v>
      </c>
      <c r="G394" t="s">
        <v>26</v>
      </c>
      <c r="H394">
        <v>169</v>
      </c>
      <c r="I394">
        <v>3116.14</v>
      </c>
      <c r="J394">
        <v>384.24</v>
      </c>
      <c r="K394">
        <v>12.33</v>
      </c>
      <c r="L394">
        <v>245.02</v>
      </c>
      <c r="M394">
        <v>7.86</v>
      </c>
      <c r="N394">
        <v>1.57</v>
      </c>
      <c r="O394">
        <v>61.1</v>
      </c>
      <c r="P394">
        <v>40.590000000000003</v>
      </c>
      <c r="Q394">
        <v>93.25</v>
      </c>
      <c r="R394">
        <v>105.56</v>
      </c>
      <c r="S394">
        <v>40000</v>
      </c>
      <c r="T394">
        <v>3640000</v>
      </c>
    </row>
    <row r="395" spans="1:20" x14ac:dyDescent="0.25">
      <c r="A395" t="s">
        <v>60</v>
      </c>
      <c r="B395" t="s">
        <v>61</v>
      </c>
      <c r="C395" t="s">
        <v>62</v>
      </c>
      <c r="D395" t="s">
        <v>112</v>
      </c>
      <c r="E395" t="s">
        <v>113</v>
      </c>
      <c r="F395" t="s">
        <v>107</v>
      </c>
      <c r="G395" t="s">
        <v>26</v>
      </c>
      <c r="H395">
        <v>169</v>
      </c>
      <c r="I395">
        <v>3045.85</v>
      </c>
      <c r="J395">
        <v>353.55</v>
      </c>
      <c r="K395">
        <v>11.61</v>
      </c>
      <c r="L395">
        <v>172.86</v>
      </c>
      <c r="M395">
        <v>5.68</v>
      </c>
      <c r="N395">
        <v>1.57</v>
      </c>
      <c r="O395">
        <v>36.5</v>
      </c>
      <c r="P395">
        <v>10.220000000000001</v>
      </c>
      <c r="Q395">
        <v>84.29</v>
      </c>
      <c r="R395">
        <v>97.13</v>
      </c>
      <c r="S395">
        <v>40000</v>
      </c>
      <c r="T395">
        <v>3640000</v>
      </c>
    </row>
    <row r="396" spans="1:20" x14ac:dyDescent="0.25">
      <c r="A396" t="s">
        <v>63</v>
      </c>
      <c r="B396" t="s">
        <v>64</v>
      </c>
      <c r="C396" t="s">
        <v>62</v>
      </c>
      <c r="D396" t="s">
        <v>112</v>
      </c>
      <c r="E396" t="s">
        <v>113</v>
      </c>
      <c r="F396" t="s">
        <v>107</v>
      </c>
      <c r="G396" t="s">
        <v>26</v>
      </c>
      <c r="H396">
        <v>169</v>
      </c>
      <c r="I396">
        <v>2825.06</v>
      </c>
      <c r="J396">
        <v>371.17</v>
      </c>
      <c r="K396">
        <v>13.14</v>
      </c>
      <c r="L396">
        <v>159.44999999999999</v>
      </c>
      <c r="M396">
        <v>5.64</v>
      </c>
      <c r="N396">
        <v>1.71</v>
      </c>
      <c r="O396">
        <v>48.4</v>
      </c>
      <c r="P396">
        <v>23.89</v>
      </c>
      <c r="Q396">
        <v>88.18</v>
      </c>
      <c r="R396">
        <v>101.97</v>
      </c>
      <c r="S396">
        <v>40000</v>
      </c>
      <c r="T396">
        <v>3640000</v>
      </c>
    </row>
    <row r="397" spans="1:20" x14ac:dyDescent="0.25">
      <c r="A397" t="s">
        <v>65</v>
      </c>
      <c r="B397" t="s">
        <v>66</v>
      </c>
      <c r="C397" t="s">
        <v>62</v>
      </c>
      <c r="D397" t="s">
        <v>112</v>
      </c>
      <c r="E397" t="s">
        <v>113</v>
      </c>
      <c r="F397" t="s">
        <v>107</v>
      </c>
      <c r="G397" t="s">
        <v>26</v>
      </c>
      <c r="H397">
        <v>169</v>
      </c>
      <c r="I397">
        <v>3037.77</v>
      </c>
      <c r="J397">
        <v>354.97</v>
      </c>
      <c r="K397">
        <v>11.69</v>
      </c>
      <c r="L397">
        <v>184.95</v>
      </c>
      <c r="M397">
        <v>6.09</v>
      </c>
      <c r="N397">
        <v>1.59</v>
      </c>
      <c r="O397">
        <v>29</v>
      </c>
      <c r="P397">
        <v>8.6</v>
      </c>
      <c r="Q397">
        <v>85.16</v>
      </c>
      <c r="R397">
        <v>97.52</v>
      </c>
      <c r="S397">
        <v>40000</v>
      </c>
      <c r="T397">
        <v>3640000</v>
      </c>
    </row>
    <row r="398" spans="1:20" x14ac:dyDescent="0.25">
      <c r="A398" t="s">
        <v>67</v>
      </c>
      <c r="B398" t="s">
        <v>68</v>
      </c>
      <c r="C398" t="s">
        <v>69</v>
      </c>
      <c r="D398" t="s">
        <v>112</v>
      </c>
      <c r="E398" t="s">
        <v>113</v>
      </c>
      <c r="F398" t="s">
        <v>107</v>
      </c>
      <c r="G398" t="s">
        <v>26</v>
      </c>
      <c r="H398">
        <v>169</v>
      </c>
      <c r="I398">
        <v>3091.68</v>
      </c>
      <c r="J398">
        <v>327.45</v>
      </c>
      <c r="K398">
        <v>10.59</v>
      </c>
      <c r="L398">
        <v>124.88</v>
      </c>
      <c r="M398">
        <v>4.04</v>
      </c>
      <c r="N398">
        <v>1.56</v>
      </c>
      <c r="O398">
        <v>56.6</v>
      </c>
      <c r="P398">
        <v>0</v>
      </c>
      <c r="Q398">
        <v>78.33</v>
      </c>
      <c r="R398">
        <v>89.96</v>
      </c>
      <c r="S398">
        <v>40000</v>
      </c>
      <c r="T398">
        <v>3640000</v>
      </c>
    </row>
    <row r="399" spans="1:20" x14ac:dyDescent="0.25">
      <c r="A399" t="s">
        <v>70</v>
      </c>
      <c r="B399" t="s">
        <v>71</v>
      </c>
      <c r="C399" t="s">
        <v>69</v>
      </c>
      <c r="D399" t="s">
        <v>112</v>
      </c>
      <c r="E399" t="s">
        <v>113</v>
      </c>
      <c r="F399" t="s">
        <v>107</v>
      </c>
      <c r="G399" t="s">
        <v>26</v>
      </c>
      <c r="H399">
        <v>169</v>
      </c>
      <c r="I399">
        <v>3114.69</v>
      </c>
      <c r="J399">
        <v>360.43</v>
      </c>
      <c r="K399">
        <v>11.57</v>
      </c>
      <c r="L399">
        <v>340.96</v>
      </c>
      <c r="M399">
        <v>10.95</v>
      </c>
      <c r="N399">
        <v>1.73</v>
      </c>
      <c r="O399">
        <v>9.4</v>
      </c>
      <c r="P399">
        <v>3.4</v>
      </c>
      <c r="Q399">
        <v>84.61</v>
      </c>
      <c r="R399">
        <v>99.02</v>
      </c>
      <c r="S399">
        <v>40000</v>
      </c>
      <c r="T399">
        <v>3640000</v>
      </c>
    </row>
    <row r="400" spans="1:20" x14ac:dyDescent="0.25">
      <c r="A400" t="s">
        <v>72</v>
      </c>
      <c r="B400" t="s">
        <v>73</v>
      </c>
      <c r="C400" t="s">
        <v>69</v>
      </c>
      <c r="D400" t="s">
        <v>112</v>
      </c>
      <c r="E400" t="s">
        <v>113</v>
      </c>
      <c r="F400" t="s">
        <v>107</v>
      </c>
      <c r="G400" t="s">
        <v>26</v>
      </c>
      <c r="H400">
        <v>169</v>
      </c>
      <c r="I400">
        <v>2841.71</v>
      </c>
      <c r="J400">
        <v>370.48</v>
      </c>
      <c r="K400">
        <v>13.04</v>
      </c>
      <c r="L400">
        <v>370.95</v>
      </c>
      <c r="M400">
        <v>13.05</v>
      </c>
      <c r="N400">
        <v>1.54</v>
      </c>
      <c r="O400">
        <v>45.2</v>
      </c>
      <c r="P400">
        <v>21.92</v>
      </c>
      <c r="Q400">
        <v>84.06</v>
      </c>
      <c r="R400">
        <v>101.78</v>
      </c>
      <c r="S400">
        <v>40000</v>
      </c>
      <c r="T400">
        <v>3640000</v>
      </c>
    </row>
    <row r="401" spans="1:20" x14ac:dyDescent="0.25">
      <c r="A401" t="s">
        <v>74</v>
      </c>
      <c r="B401" t="s">
        <v>75</v>
      </c>
      <c r="C401" t="s">
        <v>69</v>
      </c>
      <c r="D401" t="s">
        <v>112</v>
      </c>
      <c r="E401" t="s">
        <v>113</v>
      </c>
      <c r="F401" t="s">
        <v>107</v>
      </c>
      <c r="G401" t="s">
        <v>26</v>
      </c>
      <c r="H401">
        <v>169</v>
      </c>
      <c r="I401">
        <v>2977.45</v>
      </c>
      <c r="J401">
        <v>342.09</v>
      </c>
      <c r="K401">
        <v>11.49</v>
      </c>
      <c r="L401">
        <v>336.73</v>
      </c>
      <c r="M401">
        <v>11.31</v>
      </c>
      <c r="N401">
        <v>1.55</v>
      </c>
      <c r="O401">
        <v>31.5</v>
      </c>
      <c r="P401">
        <v>4.7699999999999996</v>
      </c>
      <c r="Q401">
        <v>80.400000000000006</v>
      </c>
      <c r="R401">
        <v>93.98</v>
      </c>
      <c r="S401">
        <v>40000</v>
      </c>
      <c r="T401">
        <v>3640000</v>
      </c>
    </row>
    <row r="402" spans="1:20" x14ac:dyDescent="0.25">
      <c r="A402" t="s">
        <v>76</v>
      </c>
      <c r="B402" t="s">
        <v>77</v>
      </c>
      <c r="C402" t="s">
        <v>69</v>
      </c>
      <c r="D402" t="s">
        <v>112</v>
      </c>
      <c r="E402" t="s">
        <v>113</v>
      </c>
      <c r="F402" t="s">
        <v>107</v>
      </c>
      <c r="G402" t="s">
        <v>26</v>
      </c>
      <c r="H402">
        <v>169</v>
      </c>
      <c r="I402">
        <v>2947.03</v>
      </c>
      <c r="J402">
        <v>409.57</v>
      </c>
      <c r="K402">
        <v>13.9</v>
      </c>
      <c r="L402">
        <v>190.1</v>
      </c>
      <c r="M402">
        <v>6.45</v>
      </c>
      <c r="N402">
        <v>1.67</v>
      </c>
      <c r="O402">
        <v>34.9</v>
      </c>
      <c r="P402">
        <v>35.770000000000003</v>
      </c>
      <c r="Q402">
        <v>94.78</v>
      </c>
      <c r="R402">
        <v>112.52</v>
      </c>
      <c r="S402">
        <v>40000</v>
      </c>
      <c r="T402">
        <v>3640000</v>
      </c>
    </row>
    <row r="403" spans="1:20" x14ac:dyDescent="0.25">
      <c r="A403" t="s">
        <v>78</v>
      </c>
      <c r="B403" t="s">
        <v>79</v>
      </c>
      <c r="C403" t="s">
        <v>80</v>
      </c>
      <c r="D403" t="s">
        <v>112</v>
      </c>
      <c r="E403" t="s">
        <v>113</v>
      </c>
      <c r="F403" t="s">
        <v>107</v>
      </c>
      <c r="G403" t="s">
        <v>26</v>
      </c>
      <c r="H403">
        <v>169</v>
      </c>
      <c r="I403">
        <v>2992.6</v>
      </c>
      <c r="J403">
        <v>369.61</v>
      </c>
      <c r="K403">
        <v>12.35</v>
      </c>
      <c r="L403">
        <v>296.60000000000002</v>
      </c>
      <c r="M403">
        <v>9.91</v>
      </c>
      <c r="N403">
        <v>1.54</v>
      </c>
      <c r="O403">
        <v>24.1</v>
      </c>
      <c r="P403">
        <v>11.42</v>
      </c>
      <c r="Q403">
        <v>85.13</v>
      </c>
      <c r="R403">
        <v>101.54</v>
      </c>
      <c r="S403">
        <v>40000</v>
      </c>
      <c r="T403">
        <v>3640000</v>
      </c>
    </row>
    <row r="404" spans="1:20" x14ac:dyDescent="0.25">
      <c r="A404" t="s">
        <v>81</v>
      </c>
      <c r="B404" t="s">
        <v>82</v>
      </c>
      <c r="C404" t="s">
        <v>80</v>
      </c>
      <c r="D404" t="s">
        <v>112</v>
      </c>
      <c r="E404" t="s">
        <v>113</v>
      </c>
      <c r="F404" t="s">
        <v>107</v>
      </c>
      <c r="G404" t="s">
        <v>26</v>
      </c>
      <c r="H404">
        <v>169</v>
      </c>
      <c r="I404">
        <v>2927.01</v>
      </c>
      <c r="J404">
        <v>438.37</v>
      </c>
      <c r="K404">
        <v>14.98</v>
      </c>
      <c r="L404">
        <v>342.22</v>
      </c>
      <c r="M404">
        <v>11.69</v>
      </c>
      <c r="N404">
        <v>1.48</v>
      </c>
      <c r="O404">
        <v>18.3</v>
      </c>
      <c r="P404">
        <v>27.12</v>
      </c>
      <c r="Q404">
        <v>101.77</v>
      </c>
      <c r="R404">
        <v>120.43</v>
      </c>
      <c r="S404">
        <v>40000</v>
      </c>
      <c r="T404">
        <v>3640000</v>
      </c>
    </row>
    <row r="405" spans="1:20" x14ac:dyDescent="0.25">
      <c r="A405" t="s">
        <v>83</v>
      </c>
      <c r="B405" t="s">
        <v>84</v>
      </c>
      <c r="C405" t="s">
        <v>80</v>
      </c>
      <c r="D405" t="s">
        <v>112</v>
      </c>
      <c r="E405" t="s">
        <v>113</v>
      </c>
      <c r="F405" t="s">
        <v>107</v>
      </c>
      <c r="G405" t="s">
        <v>26</v>
      </c>
      <c r="H405">
        <v>169</v>
      </c>
      <c r="I405">
        <v>3154.67</v>
      </c>
      <c r="J405">
        <v>408.48</v>
      </c>
      <c r="K405">
        <v>12.95</v>
      </c>
      <c r="L405">
        <v>220.94</v>
      </c>
      <c r="M405">
        <v>7</v>
      </c>
      <c r="N405">
        <v>1.63</v>
      </c>
      <c r="O405">
        <v>49.2</v>
      </c>
      <c r="P405">
        <v>49.62</v>
      </c>
      <c r="Q405">
        <v>93.24</v>
      </c>
      <c r="R405">
        <v>112.22</v>
      </c>
      <c r="S405">
        <v>40000</v>
      </c>
      <c r="T405">
        <v>3640000</v>
      </c>
    </row>
    <row r="406" spans="1:20" x14ac:dyDescent="0.25">
      <c r="A406" t="s">
        <v>85</v>
      </c>
      <c r="B406" t="s">
        <v>86</v>
      </c>
      <c r="C406" t="s">
        <v>80</v>
      </c>
      <c r="D406" t="s">
        <v>112</v>
      </c>
      <c r="E406" t="s">
        <v>113</v>
      </c>
      <c r="F406" t="s">
        <v>107</v>
      </c>
      <c r="G406" t="s">
        <v>26</v>
      </c>
      <c r="H406">
        <v>169</v>
      </c>
      <c r="I406">
        <v>2820.85</v>
      </c>
      <c r="J406">
        <v>406.48</v>
      </c>
      <c r="K406">
        <v>14.41</v>
      </c>
      <c r="L406">
        <v>233.09</v>
      </c>
      <c r="M406">
        <v>8.26</v>
      </c>
      <c r="N406">
        <v>1.68</v>
      </c>
      <c r="O406">
        <v>62</v>
      </c>
      <c r="P406">
        <v>60.68</v>
      </c>
      <c r="Q406">
        <v>99.34</v>
      </c>
      <c r="R406">
        <v>111.67</v>
      </c>
      <c r="S406">
        <v>40000</v>
      </c>
      <c r="T406">
        <v>3640000</v>
      </c>
    </row>
    <row r="407" spans="1:20" x14ac:dyDescent="0.25">
      <c r="A407" t="s">
        <v>87</v>
      </c>
      <c r="B407" t="s">
        <v>88</v>
      </c>
      <c r="C407" t="s">
        <v>89</v>
      </c>
      <c r="D407" t="s">
        <v>112</v>
      </c>
      <c r="E407" t="s">
        <v>113</v>
      </c>
      <c r="F407" t="s">
        <v>107</v>
      </c>
      <c r="G407" t="s">
        <v>26</v>
      </c>
      <c r="H407">
        <v>169</v>
      </c>
      <c r="I407">
        <v>2211.92</v>
      </c>
      <c r="J407">
        <v>534.35</v>
      </c>
      <c r="K407">
        <v>24.16</v>
      </c>
      <c r="L407">
        <v>-421.95</v>
      </c>
      <c r="M407">
        <v>-19.079999999999998</v>
      </c>
      <c r="N407">
        <v>1.25</v>
      </c>
      <c r="O407">
        <v>14.7</v>
      </c>
      <c r="P407">
        <v>49.57</v>
      </c>
      <c r="Q407">
        <v>130.88</v>
      </c>
      <c r="R407">
        <v>146.80000000000001</v>
      </c>
      <c r="S407">
        <v>40000</v>
      </c>
      <c r="T407">
        <v>3640000</v>
      </c>
    </row>
    <row r="408" spans="1:20" x14ac:dyDescent="0.25">
      <c r="A408" t="s">
        <v>20</v>
      </c>
      <c r="B408" t="s">
        <v>21</v>
      </c>
      <c r="C408" t="s">
        <v>22</v>
      </c>
      <c r="D408" t="s">
        <v>114</v>
      </c>
      <c r="E408" t="s">
        <v>115</v>
      </c>
      <c r="F408" t="s">
        <v>107</v>
      </c>
      <c r="G408" t="s">
        <v>26</v>
      </c>
      <c r="H408">
        <v>165</v>
      </c>
      <c r="I408">
        <v>2981.51</v>
      </c>
      <c r="J408">
        <v>285.04000000000002</v>
      </c>
      <c r="K408">
        <v>9.56</v>
      </c>
      <c r="L408">
        <v>246.27</v>
      </c>
      <c r="M408">
        <v>8.26</v>
      </c>
      <c r="N408">
        <v>1.42</v>
      </c>
      <c r="O408">
        <v>58.1</v>
      </c>
      <c r="P408">
        <v>0</v>
      </c>
      <c r="Q408">
        <v>63</v>
      </c>
      <c r="R408">
        <v>74.58</v>
      </c>
      <c r="S408">
        <v>42000</v>
      </c>
      <c r="T408">
        <v>3822000</v>
      </c>
    </row>
    <row r="409" spans="1:20" x14ac:dyDescent="0.25">
      <c r="A409" t="s">
        <v>27</v>
      </c>
      <c r="B409" t="s">
        <v>28</v>
      </c>
      <c r="C409" t="s">
        <v>22</v>
      </c>
      <c r="D409" t="s">
        <v>114</v>
      </c>
      <c r="E409" t="s">
        <v>115</v>
      </c>
      <c r="F409" t="s">
        <v>107</v>
      </c>
      <c r="G409" t="s">
        <v>26</v>
      </c>
      <c r="H409">
        <v>165</v>
      </c>
      <c r="I409">
        <v>3054.85</v>
      </c>
      <c r="J409">
        <v>280.31</v>
      </c>
      <c r="K409">
        <v>9.18</v>
      </c>
      <c r="L409">
        <v>224.92</v>
      </c>
      <c r="M409">
        <v>7.36</v>
      </c>
      <c r="N409">
        <v>1.68</v>
      </c>
      <c r="O409">
        <v>22.2</v>
      </c>
      <c r="P409">
        <v>0</v>
      </c>
      <c r="Q409">
        <v>64.790000000000006</v>
      </c>
      <c r="R409">
        <v>73.34</v>
      </c>
      <c r="S409">
        <v>42000</v>
      </c>
      <c r="T409">
        <v>3822000</v>
      </c>
    </row>
    <row r="410" spans="1:20" x14ac:dyDescent="0.25">
      <c r="A410" t="s">
        <v>29</v>
      </c>
      <c r="B410" t="s">
        <v>30</v>
      </c>
      <c r="C410" t="s">
        <v>22</v>
      </c>
      <c r="D410" t="s">
        <v>114</v>
      </c>
      <c r="E410" t="s">
        <v>115</v>
      </c>
      <c r="F410" t="s">
        <v>107</v>
      </c>
      <c r="G410" t="s">
        <v>26</v>
      </c>
      <c r="H410">
        <v>165</v>
      </c>
      <c r="I410">
        <v>3225.42</v>
      </c>
      <c r="J410">
        <v>271.77999999999997</v>
      </c>
      <c r="K410">
        <v>8.43</v>
      </c>
      <c r="L410">
        <v>187.48</v>
      </c>
      <c r="M410">
        <v>5.81</v>
      </c>
      <c r="N410">
        <v>1.69</v>
      </c>
      <c r="O410">
        <v>50</v>
      </c>
      <c r="P410">
        <v>0</v>
      </c>
      <c r="Q410">
        <v>60.46</v>
      </c>
      <c r="R410">
        <v>71.11</v>
      </c>
      <c r="S410">
        <v>42000</v>
      </c>
      <c r="T410">
        <v>3822000</v>
      </c>
    </row>
    <row r="411" spans="1:20" x14ac:dyDescent="0.25">
      <c r="A411" t="s">
        <v>31</v>
      </c>
      <c r="B411" t="s">
        <v>32</v>
      </c>
      <c r="C411" t="s">
        <v>22</v>
      </c>
      <c r="D411" t="s">
        <v>114</v>
      </c>
      <c r="E411" t="s">
        <v>115</v>
      </c>
      <c r="F411" t="s">
        <v>107</v>
      </c>
      <c r="G411" t="s">
        <v>26</v>
      </c>
      <c r="H411">
        <v>165</v>
      </c>
      <c r="I411">
        <v>3101.1</v>
      </c>
      <c r="J411">
        <v>294.18</v>
      </c>
      <c r="K411">
        <v>9.49</v>
      </c>
      <c r="L411">
        <v>146.31</v>
      </c>
      <c r="M411">
        <v>4.72</v>
      </c>
      <c r="N411">
        <v>1.69</v>
      </c>
      <c r="O411">
        <v>32.1</v>
      </c>
      <c r="P411">
        <v>0</v>
      </c>
      <c r="Q411">
        <v>65.66</v>
      </c>
      <c r="R411">
        <v>76.97</v>
      </c>
      <c r="S411">
        <v>42000</v>
      </c>
      <c r="T411">
        <v>3822000</v>
      </c>
    </row>
    <row r="412" spans="1:20" x14ac:dyDescent="0.25">
      <c r="A412" t="s">
        <v>33</v>
      </c>
      <c r="B412" t="s">
        <v>34</v>
      </c>
      <c r="C412" t="s">
        <v>22</v>
      </c>
      <c r="D412" t="s">
        <v>114</v>
      </c>
      <c r="E412" t="s">
        <v>115</v>
      </c>
      <c r="F412" t="s">
        <v>107</v>
      </c>
      <c r="G412" t="s">
        <v>26</v>
      </c>
      <c r="H412">
        <v>165</v>
      </c>
      <c r="I412">
        <v>3047.74</v>
      </c>
      <c r="J412">
        <v>288.10000000000002</v>
      </c>
      <c r="K412">
        <v>9.4499999999999993</v>
      </c>
      <c r="L412">
        <v>424.49</v>
      </c>
      <c r="M412">
        <v>13.93</v>
      </c>
      <c r="N412">
        <v>1.71</v>
      </c>
      <c r="O412">
        <v>2.5</v>
      </c>
      <c r="P412">
        <v>0</v>
      </c>
      <c r="Q412">
        <v>66.66</v>
      </c>
      <c r="R412">
        <v>75.38</v>
      </c>
      <c r="S412">
        <v>42000</v>
      </c>
      <c r="T412">
        <v>3822000</v>
      </c>
    </row>
    <row r="413" spans="1:20" x14ac:dyDescent="0.25">
      <c r="A413" t="s">
        <v>35</v>
      </c>
      <c r="B413" t="s">
        <v>36</v>
      </c>
      <c r="C413" t="s">
        <v>37</v>
      </c>
      <c r="D413" t="s">
        <v>114</v>
      </c>
      <c r="E413" t="s">
        <v>115</v>
      </c>
      <c r="F413" t="s">
        <v>107</v>
      </c>
      <c r="G413" t="s">
        <v>26</v>
      </c>
      <c r="H413">
        <v>165</v>
      </c>
      <c r="I413">
        <v>826.35</v>
      </c>
      <c r="J413">
        <v>90.54</v>
      </c>
      <c r="K413">
        <v>10.96</v>
      </c>
      <c r="L413">
        <v>-298.61</v>
      </c>
      <c r="M413">
        <v>-36.14</v>
      </c>
      <c r="N413">
        <v>0.39</v>
      </c>
      <c r="O413">
        <v>0.7</v>
      </c>
      <c r="P413">
        <v>0</v>
      </c>
      <c r="Q413">
        <v>20.57</v>
      </c>
      <c r="R413">
        <v>23.69</v>
      </c>
      <c r="S413">
        <v>42000</v>
      </c>
      <c r="T413">
        <v>3822000</v>
      </c>
    </row>
    <row r="414" spans="1:20" x14ac:dyDescent="0.25">
      <c r="A414" t="s">
        <v>38</v>
      </c>
      <c r="B414" t="s">
        <v>39</v>
      </c>
      <c r="C414" t="s">
        <v>37</v>
      </c>
      <c r="D414" t="s">
        <v>114</v>
      </c>
      <c r="E414" t="s">
        <v>115</v>
      </c>
      <c r="F414" t="s">
        <v>107</v>
      </c>
      <c r="G414" t="s">
        <v>26</v>
      </c>
      <c r="H414">
        <v>165</v>
      </c>
      <c r="I414">
        <v>820.26</v>
      </c>
      <c r="J414">
        <v>192.74</v>
      </c>
      <c r="K414">
        <v>23.5</v>
      </c>
      <c r="L414">
        <v>-303.47000000000003</v>
      </c>
      <c r="M414">
        <v>-37</v>
      </c>
      <c r="N414">
        <v>0.44</v>
      </c>
      <c r="O414">
        <v>29.5</v>
      </c>
      <c r="P414">
        <v>0</v>
      </c>
      <c r="Q414">
        <v>44.05</v>
      </c>
      <c r="R414">
        <v>50.43</v>
      </c>
      <c r="S414">
        <v>42000</v>
      </c>
      <c r="T414">
        <v>3822000</v>
      </c>
    </row>
    <row r="415" spans="1:20" x14ac:dyDescent="0.25">
      <c r="A415" t="s">
        <v>40</v>
      </c>
      <c r="B415" t="s">
        <v>41</v>
      </c>
      <c r="C415" t="s">
        <v>37</v>
      </c>
      <c r="D415" t="s">
        <v>114</v>
      </c>
      <c r="E415" t="s">
        <v>115</v>
      </c>
      <c r="F415" t="s">
        <v>107</v>
      </c>
      <c r="G415" t="s">
        <v>26</v>
      </c>
      <c r="H415">
        <v>165</v>
      </c>
      <c r="I415">
        <v>932.65</v>
      </c>
      <c r="J415">
        <v>174.51</v>
      </c>
      <c r="K415">
        <v>18.71</v>
      </c>
      <c r="L415">
        <v>-230.12</v>
      </c>
      <c r="M415">
        <v>-24.67</v>
      </c>
      <c r="N415">
        <v>0.5</v>
      </c>
      <c r="O415">
        <v>27.2</v>
      </c>
      <c r="P415">
        <v>0</v>
      </c>
      <c r="Q415">
        <v>39.950000000000003</v>
      </c>
      <c r="R415">
        <v>45.66</v>
      </c>
      <c r="S415">
        <v>42000</v>
      </c>
      <c r="T415">
        <v>3822000</v>
      </c>
    </row>
    <row r="416" spans="1:20" x14ac:dyDescent="0.25">
      <c r="A416" t="s">
        <v>42</v>
      </c>
      <c r="B416" t="s">
        <v>43</v>
      </c>
      <c r="C416" t="s">
        <v>37</v>
      </c>
      <c r="D416" t="s">
        <v>114</v>
      </c>
      <c r="E416" t="s">
        <v>115</v>
      </c>
      <c r="F416" t="s">
        <v>107</v>
      </c>
      <c r="G416" t="s">
        <v>26</v>
      </c>
      <c r="H416">
        <v>165</v>
      </c>
      <c r="I416">
        <v>1069.1600000000001</v>
      </c>
      <c r="J416">
        <v>327.81</v>
      </c>
      <c r="K416">
        <v>30.66</v>
      </c>
      <c r="L416">
        <v>-399.15</v>
      </c>
      <c r="M416">
        <v>-37.33</v>
      </c>
      <c r="N416">
        <v>0.56000000000000005</v>
      </c>
      <c r="O416">
        <v>33.799999999999997</v>
      </c>
      <c r="P416">
        <v>0</v>
      </c>
      <c r="Q416">
        <v>75.489999999999995</v>
      </c>
      <c r="R416">
        <v>85.77</v>
      </c>
      <c r="S416">
        <v>42000</v>
      </c>
      <c r="T416">
        <v>3822000</v>
      </c>
    </row>
    <row r="417" spans="1:20" x14ac:dyDescent="0.25">
      <c r="A417" t="s">
        <v>44</v>
      </c>
      <c r="B417" t="s">
        <v>45</v>
      </c>
      <c r="C417" t="s">
        <v>37</v>
      </c>
      <c r="D417" t="s">
        <v>114</v>
      </c>
      <c r="E417" t="s">
        <v>115</v>
      </c>
      <c r="F417" t="s">
        <v>107</v>
      </c>
      <c r="G417" t="s">
        <v>26</v>
      </c>
      <c r="H417">
        <v>165</v>
      </c>
      <c r="I417">
        <v>724.68</v>
      </c>
      <c r="J417">
        <v>347.5</v>
      </c>
      <c r="K417">
        <v>47.95</v>
      </c>
      <c r="L417">
        <v>-304.11</v>
      </c>
      <c r="M417">
        <v>-41.96</v>
      </c>
      <c r="N417">
        <v>0.37</v>
      </c>
      <c r="O417">
        <v>14</v>
      </c>
      <c r="P417">
        <v>0.5</v>
      </c>
      <c r="Q417">
        <v>76.83</v>
      </c>
      <c r="R417">
        <v>90.92</v>
      </c>
      <c r="S417">
        <v>42000</v>
      </c>
      <c r="T417">
        <v>3822000</v>
      </c>
    </row>
    <row r="418" spans="1:20" x14ac:dyDescent="0.25">
      <c r="A418" t="s">
        <v>46</v>
      </c>
      <c r="B418" t="s">
        <v>47</v>
      </c>
      <c r="C418" t="s">
        <v>48</v>
      </c>
      <c r="D418" t="s">
        <v>114</v>
      </c>
      <c r="E418" t="s">
        <v>115</v>
      </c>
      <c r="F418" t="s">
        <v>107</v>
      </c>
      <c r="G418" t="s">
        <v>26</v>
      </c>
      <c r="H418">
        <v>165</v>
      </c>
      <c r="I418">
        <v>2552.16</v>
      </c>
      <c r="J418">
        <v>343.67</v>
      </c>
      <c r="K418">
        <v>13.47</v>
      </c>
      <c r="L418">
        <v>89.83</v>
      </c>
      <c r="M418">
        <v>3.52</v>
      </c>
      <c r="N418">
        <v>1.27</v>
      </c>
      <c r="O418">
        <v>36.799999999999997</v>
      </c>
      <c r="P418">
        <v>0</v>
      </c>
      <c r="Q418">
        <v>78.97</v>
      </c>
      <c r="R418">
        <v>89.92</v>
      </c>
      <c r="S418">
        <v>42000</v>
      </c>
      <c r="T418">
        <v>3822000</v>
      </c>
    </row>
    <row r="419" spans="1:20" x14ac:dyDescent="0.25">
      <c r="A419" t="s">
        <v>49</v>
      </c>
      <c r="B419" t="s">
        <v>50</v>
      </c>
      <c r="C419" t="s">
        <v>48</v>
      </c>
      <c r="D419" t="s">
        <v>114</v>
      </c>
      <c r="E419" t="s">
        <v>115</v>
      </c>
      <c r="F419" t="s">
        <v>107</v>
      </c>
      <c r="G419" t="s">
        <v>26</v>
      </c>
      <c r="H419">
        <v>165</v>
      </c>
      <c r="I419">
        <v>2523.4699999999998</v>
      </c>
      <c r="J419">
        <v>398.44</v>
      </c>
      <c r="K419">
        <v>15.79</v>
      </c>
      <c r="L419">
        <v>180.37</v>
      </c>
      <c r="M419">
        <v>7.15</v>
      </c>
      <c r="N419">
        <v>1.2</v>
      </c>
      <c r="O419">
        <v>51.1</v>
      </c>
      <c r="P419">
        <v>32.24</v>
      </c>
      <c r="Q419">
        <v>86.82</v>
      </c>
      <c r="R419">
        <v>104.25</v>
      </c>
      <c r="S419">
        <v>42000</v>
      </c>
      <c r="T419">
        <v>3822000</v>
      </c>
    </row>
    <row r="420" spans="1:20" x14ac:dyDescent="0.25">
      <c r="A420" t="s">
        <v>51</v>
      </c>
      <c r="B420" t="s">
        <v>52</v>
      </c>
      <c r="C420" t="s">
        <v>48</v>
      </c>
      <c r="D420" t="s">
        <v>114</v>
      </c>
      <c r="E420" t="s">
        <v>115</v>
      </c>
      <c r="F420" t="s">
        <v>107</v>
      </c>
      <c r="G420" t="s">
        <v>26</v>
      </c>
      <c r="H420">
        <v>165</v>
      </c>
      <c r="I420">
        <v>2593.0300000000002</v>
      </c>
      <c r="J420">
        <v>311.26</v>
      </c>
      <c r="K420">
        <v>12</v>
      </c>
      <c r="L420">
        <v>27.85</v>
      </c>
      <c r="M420">
        <v>1.07</v>
      </c>
      <c r="N420">
        <v>1.48</v>
      </c>
      <c r="O420">
        <v>62.2</v>
      </c>
      <c r="P420">
        <v>0</v>
      </c>
      <c r="Q420">
        <v>72.010000000000005</v>
      </c>
      <c r="R420">
        <v>81.44</v>
      </c>
      <c r="S420">
        <v>42000</v>
      </c>
      <c r="T420">
        <v>3822000</v>
      </c>
    </row>
    <row r="421" spans="1:20" x14ac:dyDescent="0.25">
      <c r="A421" t="s">
        <v>53</v>
      </c>
      <c r="B421" t="s">
        <v>54</v>
      </c>
      <c r="C421" t="s">
        <v>55</v>
      </c>
      <c r="D421" t="s">
        <v>114</v>
      </c>
      <c r="E421" t="s">
        <v>115</v>
      </c>
      <c r="F421" t="s">
        <v>107</v>
      </c>
      <c r="G421" t="s">
        <v>26</v>
      </c>
      <c r="H421">
        <v>165</v>
      </c>
      <c r="I421">
        <v>3171.49</v>
      </c>
      <c r="J421">
        <v>503.09</v>
      </c>
      <c r="K421">
        <v>15.86</v>
      </c>
      <c r="L421">
        <v>278.48</v>
      </c>
      <c r="M421">
        <v>8.7799999999999994</v>
      </c>
      <c r="N421">
        <v>1.58</v>
      </c>
      <c r="O421">
        <v>59.6</v>
      </c>
      <c r="P421">
        <v>138.69</v>
      </c>
      <c r="Q421">
        <v>109.53</v>
      </c>
      <c r="R421">
        <v>131.63</v>
      </c>
      <c r="S421">
        <v>42000</v>
      </c>
      <c r="T421">
        <v>3822000</v>
      </c>
    </row>
    <row r="422" spans="1:20" x14ac:dyDescent="0.25">
      <c r="A422" t="s">
        <v>56</v>
      </c>
      <c r="B422" t="s">
        <v>57</v>
      </c>
      <c r="C422" t="s">
        <v>55</v>
      </c>
      <c r="D422" t="s">
        <v>114</v>
      </c>
      <c r="E422" t="s">
        <v>115</v>
      </c>
      <c r="F422" t="s">
        <v>107</v>
      </c>
      <c r="G422" t="s">
        <v>26</v>
      </c>
      <c r="H422">
        <v>165</v>
      </c>
      <c r="I422">
        <v>3131.51</v>
      </c>
      <c r="J422">
        <v>361.14</v>
      </c>
      <c r="K422">
        <v>11.53</v>
      </c>
      <c r="L422">
        <v>190.31</v>
      </c>
      <c r="M422">
        <v>6.08</v>
      </c>
      <c r="N422">
        <v>1.74</v>
      </c>
      <c r="O422">
        <v>57.8</v>
      </c>
      <c r="P422">
        <v>10.41</v>
      </c>
      <c r="Q422">
        <v>80.69</v>
      </c>
      <c r="R422">
        <v>94.49</v>
      </c>
      <c r="S422">
        <v>42000</v>
      </c>
      <c r="T422">
        <v>3822000</v>
      </c>
    </row>
    <row r="423" spans="1:20" x14ac:dyDescent="0.25">
      <c r="A423" t="s">
        <v>58</v>
      </c>
      <c r="B423" t="s">
        <v>59</v>
      </c>
      <c r="C423" t="s">
        <v>55</v>
      </c>
      <c r="D423" t="s">
        <v>114</v>
      </c>
      <c r="E423" t="s">
        <v>115</v>
      </c>
      <c r="F423" t="s">
        <v>107</v>
      </c>
      <c r="G423" t="s">
        <v>26</v>
      </c>
      <c r="H423">
        <v>165</v>
      </c>
      <c r="I423">
        <v>3198.77</v>
      </c>
      <c r="J423">
        <v>403.45</v>
      </c>
      <c r="K423">
        <v>12.61</v>
      </c>
      <c r="L423">
        <v>70.38</v>
      </c>
      <c r="M423">
        <v>2.2000000000000002</v>
      </c>
      <c r="N423">
        <v>1.7</v>
      </c>
      <c r="O423">
        <v>53.4</v>
      </c>
      <c r="P423">
        <v>37.25</v>
      </c>
      <c r="Q423">
        <v>93.25</v>
      </c>
      <c r="R423">
        <v>105.56</v>
      </c>
      <c r="S423">
        <v>42000</v>
      </c>
      <c r="T423">
        <v>3822000</v>
      </c>
    </row>
    <row r="424" spans="1:20" x14ac:dyDescent="0.25">
      <c r="A424" t="s">
        <v>60</v>
      </c>
      <c r="B424" t="s">
        <v>61</v>
      </c>
      <c r="C424" t="s">
        <v>62</v>
      </c>
      <c r="D424" t="s">
        <v>114</v>
      </c>
      <c r="E424" t="s">
        <v>115</v>
      </c>
      <c r="F424" t="s">
        <v>107</v>
      </c>
      <c r="G424" t="s">
        <v>26</v>
      </c>
      <c r="H424">
        <v>165</v>
      </c>
      <c r="I424">
        <v>3139.22</v>
      </c>
      <c r="J424">
        <v>371.23</v>
      </c>
      <c r="K424">
        <v>11.83</v>
      </c>
      <c r="L424">
        <v>419.04</v>
      </c>
      <c r="M424">
        <v>13.35</v>
      </c>
      <c r="N424">
        <v>1.76</v>
      </c>
      <c r="O424">
        <v>34.4</v>
      </c>
      <c r="P424">
        <v>10.119999999999999</v>
      </c>
      <c r="Q424">
        <v>84.29</v>
      </c>
      <c r="R424">
        <v>97.13</v>
      </c>
      <c r="S424">
        <v>42000</v>
      </c>
      <c r="T424">
        <v>3822000</v>
      </c>
    </row>
    <row r="425" spans="1:20" x14ac:dyDescent="0.25">
      <c r="A425" t="s">
        <v>63</v>
      </c>
      <c r="B425" t="s">
        <v>64</v>
      </c>
      <c r="C425" t="s">
        <v>62</v>
      </c>
      <c r="D425" t="s">
        <v>114</v>
      </c>
      <c r="E425" t="s">
        <v>115</v>
      </c>
      <c r="F425" t="s">
        <v>107</v>
      </c>
      <c r="G425" t="s">
        <v>26</v>
      </c>
      <c r="H425">
        <v>165</v>
      </c>
      <c r="I425">
        <v>3082.68</v>
      </c>
      <c r="J425">
        <v>389.73</v>
      </c>
      <c r="K425">
        <v>12.64</v>
      </c>
      <c r="L425">
        <v>140.29</v>
      </c>
      <c r="M425">
        <v>4.55</v>
      </c>
      <c r="N425">
        <v>1.65</v>
      </c>
      <c r="O425">
        <v>17.3</v>
      </c>
      <c r="P425">
        <v>8.9700000000000006</v>
      </c>
      <c r="Q425">
        <v>88.18</v>
      </c>
      <c r="R425">
        <v>101.97</v>
      </c>
      <c r="S425">
        <v>42000</v>
      </c>
      <c r="T425">
        <v>3822000</v>
      </c>
    </row>
    <row r="426" spans="1:20" x14ac:dyDescent="0.25">
      <c r="A426" t="s">
        <v>65</v>
      </c>
      <c r="B426" t="s">
        <v>66</v>
      </c>
      <c r="C426" t="s">
        <v>62</v>
      </c>
      <c r="D426" t="s">
        <v>114</v>
      </c>
      <c r="E426" t="s">
        <v>115</v>
      </c>
      <c r="F426" t="s">
        <v>107</v>
      </c>
      <c r="G426" t="s">
        <v>26</v>
      </c>
      <c r="H426">
        <v>165</v>
      </c>
      <c r="I426">
        <v>3188.46</v>
      </c>
      <c r="J426">
        <v>372.72</v>
      </c>
      <c r="K426">
        <v>11.69</v>
      </c>
      <c r="L426">
        <v>382.22</v>
      </c>
      <c r="M426">
        <v>11.99</v>
      </c>
      <c r="N426">
        <v>1.63</v>
      </c>
      <c r="O426">
        <v>1</v>
      </c>
      <c r="P426">
        <v>0.31</v>
      </c>
      <c r="Q426">
        <v>85.16</v>
      </c>
      <c r="R426">
        <v>97.52</v>
      </c>
      <c r="S426">
        <v>42000</v>
      </c>
      <c r="T426">
        <v>3822000</v>
      </c>
    </row>
    <row r="427" spans="1:20" x14ac:dyDescent="0.25">
      <c r="A427" t="s">
        <v>67</v>
      </c>
      <c r="B427" t="s">
        <v>68</v>
      </c>
      <c r="C427" t="s">
        <v>69</v>
      </c>
      <c r="D427" t="s">
        <v>114</v>
      </c>
      <c r="E427" t="s">
        <v>115</v>
      </c>
      <c r="F427" t="s">
        <v>107</v>
      </c>
      <c r="G427" t="s">
        <v>26</v>
      </c>
      <c r="H427">
        <v>165</v>
      </c>
      <c r="I427">
        <v>3267.14</v>
      </c>
      <c r="J427">
        <v>343.83</v>
      </c>
      <c r="K427">
        <v>10.52</v>
      </c>
      <c r="L427">
        <v>310.05</v>
      </c>
      <c r="M427">
        <v>9.49</v>
      </c>
      <c r="N427">
        <v>1.64</v>
      </c>
      <c r="O427">
        <v>41.2</v>
      </c>
      <c r="P427">
        <v>0</v>
      </c>
      <c r="Q427">
        <v>78.33</v>
      </c>
      <c r="R427">
        <v>89.96</v>
      </c>
      <c r="S427">
        <v>42000</v>
      </c>
      <c r="T427">
        <v>3822000</v>
      </c>
    </row>
    <row r="428" spans="1:20" x14ac:dyDescent="0.25">
      <c r="A428" t="s">
        <v>70</v>
      </c>
      <c r="B428" t="s">
        <v>71</v>
      </c>
      <c r="C428" t="s">
        <v>69</v>
      </c>
      <c r="D428" t="s">
        <v>114</v>
      </c>
      <c r="E428" t="s">
        <v>115</v>
      </c>
      <c r="F428" t="s">
        <v>107</v>
      </c>
      <c r="G428" t="s">
        <v>26</v>
      </c>
      <c r="H428">
        <v>165</v>
      </c>
      <c r="I428">
        <v>3190.84</v>
      </c>
      <c r="J428">
        <v>378.45</v>
      </c>
      <c r="K428">
        <v>11.86</v>
      </c>
      <c r="L428">
        <v>174.69</v>
      </c>
      <c r="M428">
        <v>5.47</v>
      </c>
      <c r="N428">
        <v>1.71</v>
      </c>
      <c r="O428">
        <v>18.600000000000001</v>
      </c>
      <c r="P428">
        <v>7.05</v>
      </c>
      <c r="Q428">
        <v>84.61</v>
      </c>
      <c r="R428">
        <v>99.02</v>
      </c>
      <c r="S428">
        <v>42000</v>
      </c>
      <c r="T428">
        <v>3822000</v>
      </c>
    </row>
    <row r="429" spans="1:20" x14ac:dyDescent="0.25">
      <c r="A429" t="s">
        <v>72</v>
      </c>
      <c r="B429" t="s">
        <v>73</v>
      </c>
      <c r="C429" t="s">
        <v>69</v>
      </c>
      <c r="D429" t="s">
        <v>114</v>
      </c>
      <c r="E429" t="s">
        <v>115</v>
      </c>
      <c r="F429" t="s">
        <v>107</v>
      </c>
      <c r="G429" t="s">
        <v>26</v>
      </c>
      <c r="H429">
        <v>165</v>
      </c>
      <c r="I429">
        <v>3242.5</v>
      </c>
      <c r="J429">
        <v>389</v>
      </c>
      <c r="K429">
        <v>12</v>
      </c>
      <c r="L429">
        <v>434.98</v>
      </c>
      <c r="M429">
        <v>13.42</v>
      </c>
      <c r="N429">
        <v>1.55</v>
      </c>
      <c r="O429">
        <v>59.6</v>
      </c>
      <c r="P429">
        <v>30.35</v>
      </c>
      <c r="Q429">
        <v>84.06</v>
      </c>
      <c r="R429">
        <v>101.78</v>
      </c>
      <c r="S429">
        <v>42000</v>
      </c>
      <c r="T429">
        <v>3822000</v>
      </c>
    </row>
    <row r="430" spans="1:20" x14ac:dyDescent="0.25">
      <c r="A430" t="s">
        <v>74</v>
      </c>
      <c r="B430" t="s">
        <v>75</v>
      </c>
      <c r="C430" t="s">
        <v>69</v>
      </c>
      <c r="D430" t="s">
        <v>114</v>
      </c>
      <c r="E430" t="s">
        <v>115</v>
      </c>
      <c r="F430" t="s">
        <v>107</v>
      </c>
      <c r="G430" t="s">
        <v>26</v>
      </c>
      <c r="H430">
        <v>165</v>
      </c>
      <c r="I430">
        <v>3282.4</v>
      </c>
      <c r="J430">
        <v>359.19</v>
      </c>
      <c r="K430">
        <v>10.94</v>
      </c>
      <c r="L430">
        <v>243.85</v>
      </c>
      <c r="M430">
        <v>7.43</v>
      </c>
      <c r="N430">
        <v>1.55</v>
      </c>
      <c r="O430">
        <v>43.1</v>
      </c>
      <c r="P430">
        <v>6.85</v>
      </c>
      <c r="Q430">
        <v>80.400000000000006</v>
      </c>
      <c r="R430">
        <v>93.98</v>
      </c>
      <c r="S430">
        <v>42000</v>
      </c>
      <c r="T430">
        <v>3822000</v>
      </c>
    </row>
    <row r="431" spans="1:20" x14ac:dyDescent="0.25">
      <c r="A431" t="s">
        <v>76</v>
      </c>
      <c r="B431" t="s">
        <v>77</v>
      </c>
      <c r="C431" t="s">
        <v>69</v>
      </c>
      <c r="D431" t="s">
        <v>114</v>
      </c>
      <c r="E431" t="s">
        <v>115</v>
      </c>
      <c r="F431" t="s">
        <v>107</v>
      </c>
      <c r="G431" t="s">
        <v>26</v>
      </c>
      <c r="H431">
        <v>165</v>
      </c>
      <c r="I431">
        <v>3059.05</v>
      </c>
      <c r="J431">
        <v>430.05</v>
      </c>
      <c r="K431">
        <v>14.06</v>
      </c>
      <c r="L431">
        <v>180.99</v>
      </c>
      <c r="M431">
        <v>5.92</v>
      </c>
      <c r="N431">
        <v>1.47</v>
      </c>
      <c r="O431">
        <v>12.7</v>
      </c>
      <c r="P431">
        <v>13.67</v>
      </c>
      <c r="Q431">
        <v>94.78</v>
      </c>
      <c r="R431">
        <v>112.52</v>
      </c>
      <c r="S431">
        <v>42000</v>
      </c>
      <c r="T431">
        <v>3822000</v>
      </c>
    </row>
    <row r="432" spans="1:20" x14ac:dyDescent="0.25">
      <c r="A432" t="s">
        <v>78</v>
      </c>
      <c r="B432" t="s">
        <v>79</v>
      </c>
      <c r="C432" t="s">
        <v>80</v>
      </c>
      <c r="D432" t="s">
        <v>114</v>
      </c>
      <c r="E432" t="s">
        <v>115</v>
      </c>
      <c r="F432" t="s">
        <v>107</v>
      </c>
      <c r="G432" t="s">
        <v>26</v>
      </c>
      <c r="H432">
        <v>165</v>
      </c>
      <c r="I432">
        <v>3016.18</v>
      </c>
      <c r="J432">
        <v>388.09</v>
      </c>
      <c r="K432">
        <v>12.87</v>
      </c>
      <c r="L432">
        <v>360.68</v>
      </c>
      <c r="M432">
        <v>11.96</v>
      </c>
      <c r="N432">
        <v>1.66</v>
      </c>
      <c r="O432">
        <v>32.1</v>
      </c>
      <c r="P432">
        <v>15.97</v>
      </c>
      <c r="Q432">
        <v>85.13</v>
      </c>
      <c r="R432">
        <v>101.54</v>
      </c>
      <c r="S432">
        <v>42000</v>
      </c>
      <c r="T432">
        <v>3822000</v>
      </c>
    </row>
    <row r="433" spans="1:20" x14ac:dyDescent="0.25">
      <c r="A433" t="s">
        <v>81</v>
      </c>
      <c r="B433" t="s">
        <v>82</v>
      </c>
      <c r="C433" t="s">
        <v>80</v>
      </c>
      <c r="D433" t="s">
        <v>114</v>
      </c>
      <c r="E433" t="s">
        <v>115</v>
      </c>
      <c r="F433" t="s">
        <v>107</v>
      </c>
      <c r="G433" t="s">
        <v>26</v>
      </c>
      <c r="H433">
        <v>165</v>
      </c>
      <c r="I433">
        <v>3142.44</v>
      </c>
      <c r="J433">
        <v>460.28</v>
      </c>
      <c r="K433">
        <v>14.65</v>
      </c>
      <c r="L433">
        <v>414.12</v>
      </c>
      <c r="M433">
        <v>13.18</v>
      </c>
      <c r="N433">
        <v>1.77</v>
      </c>
      <c r="O433">
        <v>53.9</v>
      </c>
      <c r="P433">
        <v>83.88</v>
      </c>
      <c r="Q433">
        <v>101.77</v>
      </c>
      <c r="R433">
        <v>120.43</v>
      </c>
      <c r="S433">
        <v>42000</v>
      </c>
      <c r="T433">
        <v>3822000</v>
      </c>
    </row>
    <row r="434" spans="1:20" x14ac:dyDescent="0.25">
      <c r="A434" t="s">
        <v>83</v>
      </c>
      <c r="B434" t="s">
        <v>84</v>
      </c>
      <c r="C434" t="s">
        <v>80</v>
      </c>
      <c r="D434" t="s">
        <v>114</v>
      </c>
      <c r="E434" t="s">
        <v>115</v>
      </c>
      <c r="F434" t="s">
        <v>107</v>
      </c>
      <c r="G434" t="s">
        <v>26</v>
      </c>
      <c r="H434">
        <v>165</v>
      </c>
      <c r="I434">
        <v>3070.87</v>
      </c>
      <c r="J434">
        <v>428.9</v>
      </c>
      <c r="K434">
        <v>13.97</v>
      </c>
      <c r="L434">
        <v>235.4</v>
      </c>
      <c r="M434">
        <v>7.67</v>
      </c>
      <c r="N434">
        <v>1.72</v>
      </c>
      <c r="O434">
        <v>60.2</v>
      </c>
      <c r="P434">
        <v>63.75</v>
      </c>
      <c r="Q434">
        <v>93.24</v>
      </c>
      <c r="R434">
        <v>112.22</v>
      </c>
      <c r="S434">
        <v>42000</v>
      </c>
      <c r="T434">
        <v>3822000</v>
      </c>
    </row>
    <row r="435" spans="1:20" x14ac:dyDescent="0.25">
      <c r="A435" t="s">
        <v>85</v>
      </c>
      <c r="B435" t="s">
        <v>86</v>
      </c>
      <c r="C435" t="s">
        <v>80</v>
      </c>
      <c r="D435" t="s">
        <v>114</v>
      </c>
      <c r="E435" t="s">
        <v>115</v>
      </c>
      <c r="F435" t="s">
        <v>107</v>
      </c>
      <c r="G435" t="s">
        <v>26</v>
      </c>
      <c r="H435">
        <v>165</v>
      </c>
      <c r="I435">
        <v>3240.43</v>
      </c>
      <c r="J435">
        <v>426.8</v>
      </c>
      <c r="K435">
        <v>13.17</v>
      </c>
      <c r="L435">
        <v>374.96</v>
      </c>
      <c r="M435">
        <v>11.57</v>
      </c>
      <c r="N435">
        <v>1.71</v>
      </c>
      <c r="O435">
        <v>22</v>
      </c>
      <c r="P435">
        <v>22.61</v>
      </c>
      <c r="Q435">
        <v>99.34</v>
      </c>
      <c r="R435">
        <v>111.67</v>
      </c>
      <c r="S435">
        <v>42000</v>
      </c>
      <c r="T435">
        <v>3822000</v>
      </c>
    </row>
    <row r="436" spans="1:20" x14ac:dyDescent="0.25">
      <c r="A436" t="s">
        <v>87</v>
      </c>
      <c r="B436" t="s">
        <v>88</v>
      </c>
      <c r="C436" t="s">
        <v>89</v>
      </c>
      <c r="D436" t="s">
        <v>114</v>
      </c>
      <c r="E436" t="s">
        <v>115</v>
      </c>
      <c r="F436" t="s">
        <v>107</v>
      </c>
      <c r="G436" t="s">
        <v>26</v>
      </c>
      <c r="H436">
        <v>165</v>
      </c>
      <c r="I436">
        <v>2300.4899999999998</v>
      </c>
      <c r="J436">
        <v>561.07000000000005</v>
      </c>
      <c r="K436">
        <v>24.39</v>
      </c>
      <c r="L436">
        <v>-510.55</v>
      </c>
      <c r="M436">
        <v>-22.19</v>
      </c>
      <c r="N436">
        <v>1.25</v>
      </c>
      <c r="O436">
        <v>50.5</v>
      </c>
      <c r="P436">
        <v>178.82</v>
      </c>
      <c r="Q436">
        <v>130.88</v>
      </c>
      <c r="R436">
        <v>146.80000000000001</v>
      </c>
      <c r="S436">
        <v>42000</v>
      </c>
      <c r="T436">
        <v>3822000</v>
      </c>
    </row>
    <row r="437" spans="1:20" x14ac:dyDescent="0.25">
      <c r="A437" t="s">
        <v>20</v>
      </c>
      <c r="B437" t="s">
        <v>21</v>
      </c>
      <c r="C437" t="s">
        <v>22</v>
      </c>
      <c r="D437" t="s">
        <v>116</v>
      </c>
      <c r="E437" t="s">
        <v>117</v>
      </c>
      <c r="F437" t="s">
        <v>118</v>
      </c>
      <c r="G437" t="s">
        <v>26</v>
      </c>
      <c r="H437">
        <v>704</v>
      </c>
      <c r="I437">
        <v>9069.2800000000007</v>
      </c>
      <c r="J437">
        <v>610.80999999999995</v>
      </c>
      <c r="K437">
        <v>6.73</v>
      </c>
      <c r="L437">
        <v>368.25</v>
      </c>
      <c r="M437">
        <v>4.0599999999999996</v>
      </c>
      <c r="N437">
        <v>7.4</v>
      </c>
      <c r="O437">
        <v>28.4</v>
      </c>
      <c r="P437">
        <v>0</v>
      </c>
      <c r="Q437">
        <v>63</v>
      </c>
      <c r="R437">
        <v>74.58</v>
      </c>
      <c r="S437">
        <v>90000</v>
      </c>
      <c r="T437">
        <v>8190000</v>
      </c>
    </row>
    <row r="438" spans="1:20" x14ac:dyDescent="0.25">
      <c r="A438" t="s">
        <v>27</v>
      </c>
      <c r="B438" t="s">
        <v>28</v>
      </c>
      <c r="C438" t="s">
        <v>22</v>
      </c>
      <c r="D438" t="s">
        <v>116</v>
      </c>
      <c r="E438" t="s">
        <v>117</v>
      </c>
      <c r="F438" t="s">
        <v>118</v>
      </c>
      <c r="G438" t="s">
        <v>26</v>
      </c>
      <c r="H438">
        <v>704</v>
      </c>
      <c r="I438">
        <v>9797.94</v>
      </c>
      <c r="J438">
        <v>600.65</v>
      </c>
      <c r="K438">
        <v>6.13</v>
      </c>
      <c r="L438">
        <v>1055.5899999999999</v>
      </c>
      <c r="M438">
        <v>10.77</v>
      </c>
      <c r="N438">
        <v>6.8</v>
      </c>
      <c r="O438">
        <v>21.3</v>
      </c>
      <c r="P438">
        <v>0</v>
      </c>
      <c r="Q438">
        <v>64.790000000000006</v>
      </c>
      <c r="R438">
        <v>73.34</v>
      </c>
      <c r="S438">
        <v>90000</v>
      </c>
      <c r="T438">
        <v>8190000</v>
      </c>
    </row>
    <row r="439" spans="1:20" x14ac:dyDescent="0.25">
      <c r="A439" t="s">
        <v>29</v>
      </c>
      <c r="B439" t="s">
        <v>30</v>
      </c>
      <c r="C439" t="s">
        <v>22</v>
      </c>
      <c r="D439" t="s">
        <v>116</v>
      </c>
      <c r="E439" t="s">
        <v>117</v>
      </c>
      <c r="F439" t="s">
        <v>118</v>
      </c>
      <c r="G439" t="s">
        <v>26</v>
      </c>
      <c r="H439">
        <v>704</v>
      </c>
      <c r="I439">
        <v>9422.2900000000009</v>
      </c>
      <c r="J439">
        <v>582.39</v>
      </c>
      <c r="K439">
        <v>6.18</v>
      </c>
      <c r="L439">
        <v>988.64</v>
      </c>
      <c r="M439">
        <v>10.49</v>
      </c>
      <c r="N439">
        <v>6.69</v>
      </c>
      <c r="O439">
        <v>11.5</v>
      </c>
      <c r="P439">
        <v>0</v>
      </c>
      <c r="Q439">
        <v>60.46</v>
      </c>
      <c r="R439">
        <v>71.11</v>
      </c>
      <c r="S439">
        <v>90000</v>
      </c>
      <c r="T439">
        <v>8190000</v>
      </c>
    </row>
    <row r="440" spans="1:20" x14ac:dyDescent="0.25">
      <c r="A440" t="s">
        <v>31</v>
      </c>
      <c r="B440" t="s">
        <v>32</v>
      </c>
      <c r="C440" t="s">
        <v>22</v>
      </c>
      <c r="D440" t="s">
        <v>116</v>
      </c>
      <c r="E440" t="s">
        <v>117</v>
      </c>
      <c r="F440" t="s">
        <v>118</v>
      </c>
      <c r="G440" t="s">
        <v>26</v>
      </c>
      <c r="H440">
        <v>704</v>
      </c>
      <c r="I440">
        <v>8972.44</v>
      </c>
      <c r="J440">
        <v>630.38</v>
      </c>
      <c r="K440">
        <v>7.03</v>
      </c>
      <c r="L440">
        <v>1064.93</v>
      </c>
      <c r="M440">
        <v>11.87</v>
      </c>
      <c r="N440">
        <v>6.39</v>
      </c>
      <c r="O440">
        <v>45.6</v>
      </c>
      <c r="P440">
        <v>0</v>
      </c>
      <c r="Q440">
        <v>65.66</v>
      </c>
      <c r="R440">
        <v>76.97</v>
      </c>
      <c r="S440">
        <v>90000</v>
      </c>
      <c r="T440">
        <v>8190000</v>
      </c>
    </row>
    <row r="441" spans="1:20" x14ac:dyDescent="0.25">
      <c r="A441" t="s">
        <v>33</v>
      </c>
      <c r="B441" t="s">
        <v>34</v>
      </c>
      <c r="C441" t="s">
        <v>22</v>
      </c>
      <c r="D441" t="s">
        <v>116</v>
      </c>
      <c r="E441" t="s">
        <v>117</v>
      </c>
      <c r="F441" t="s">
        <v>118</v>
      </c>
      <c r="G441" t="s">
        <v>26</v>
      </c>
      <c r="H441">
        <v>704</v>
      </c>
      <c r="I441">
        <v>9674.2099999999991</v>
      </c>
      <c r="J441">
        <v>617.36</v>
      </c>
      <c r="K441">
        <v>6.38</v>
      </c>
      <c r="L441">
        <v>765.83</v>
      </c>
      <c r="M441">
        <v>7.92</v>
      </c>
      <c r="N441">
        <v>6.54</v>
      </c>
      <c r="O441">
        <v>9.1999999999999993</v>
      </c>
      <c r="P441">
        <v>0</v>
      </c>
      <c r="Q441">
        <v>66.66</v>
      </c>
      <c r="R441">
        <v>75.38</v>
      </c>
      <c r="S441">
        <v>90000</v>
      </c>
      <c r="T441">
        <v>8190000</v>
      </c>
    </row>
    <row r="442" spans="1:20" x14ac:dyDescent="0.25">
      <c r="A442" t="s">
        <v>35</v>
      </c>
      <c r="B442" t="s">
        <v>36</v>
      </c>
      <c r="C442" t="s">
        <v>37</v>
      </c>
      <c r="D442" t="s">
        <v>116</v>
      </c>
      <c r="E442" t="s">
        <v>117</v>
      </c>
      <c r="F442" t="s">
        <v>118</v>
      </c>
      <c r="G442" t="s">
        <v>26</v>
      </c>
      <c r="H442">
        <v>704</v>
      </c>
      <c r="I442">
        <v>1932.65</v>
      </c>
      <c r="J442">
        <v>194.02</v>
      </c>
      <c r="K442">
        <v>10.039999999999999</v>
      </c>
      <c r="L442">
        <v>-777.91</v>
      </c>
      <c r="M442">
        <v>-40.25</v>
      </c>
      <c r="N442">
        <v>1.39</v>
      </c>
      <c r="O442">
        <v>35.4</v>
      </c>
      <c r="P442">
        <v>0</v>
      </c>
      <c r="Q442">
        <v>20.57</v>
      </c>
      <c r="R442">
        <v>23.69</v>
      </c>
      <c r="S442">
        <v>90000</v>
      </c>
      <c r="T442">
        <v>8190000</v>
      </c>
    </row>
    <row r="443" spans="1:20" x14ac:dyDescent="0.25">
      <c r="A443" t="s">
        <v>38</v>
      </c>
      <c r="B443" t="s">
        <v>39</v>
      </c>
      <c r="C443" t="s">
        <v>37</v>
      </c>
      <c r="D443" t="s">
        <v>116</v>
      </c>
      <c r="E443" t="s">
        <v>117</v>
      </c>
      <c r="F443" t="s">
        <v>118</v>
      </c>
      <c r="G443" t="s">
        <v>26</v>
      </c>
      <c r="H443">
        <v>704</v>
      </c>
      <c r="I443">
        <v>1403.37</v>
      </c>
      <c r="J443">
        <v>413.02</v>
      </c>
      <c r="K443">
        <v>29.43</v>
      </c>
      <c r="L443">
        <v>-608.96</v>
      </c>
      <c r="M443">
        <v>-43.39</v>
      </c>
      <c r="N443">
        <v>1.1299999999999999</v>
      </c>
      <c r="O443">
        <v>34</v>
      </c>
      <c r="P443">
        <v>0</v>
      </c>
      <c r="Q443">
        <v>44.05</v>
      </c>
      <c r="R443">
        <v>50.43</v>
      </c>
      <c r="S443">
        <v>90000</v>
      </c>
      <c r="T443">
        <v>8190000</v>
      </c>
    </row>
    <row r="444" spans="1:20" x14ac:dyDescent="0.25">
      <c r="A444" t="s">
        <v>40</v>
      </c>
      <c r="B444" t="s">
        <v>41</v>
      </c>
      <c r="C444" t="s">
        <v>37</v>
      </c>
      <c r="D444" t="s">
        <v>116</v>
      </c>
      <c r="E444" t="s">
        <v>117</v>
      </c>
      <c r="F444" t="s">
        <v>118</v>
      </c>
      <c r="G444" t="s">
        <v>26</v>
      </c>
      <c r="H444">
        <v>704</v>
      </c>
      <c r="I444">
        <v>3067.67</v>
      </c>
      <c r="J444">
        <v>373.96</v>
      </c>
      <c r="K444">
        <v>12.19</v>
      </c>
      <c r="L444">
        <v>-1377.94</v>
      </c>
      <c r="M444">
        <v>-44.92</v>
      </c>
      <c r="N444">
        <v>2.0699999999999998</v>
      </c>
      <c r="O444">
        <v>48.1</v>
      </c>
      <c r="P444">
        <v>0</v>
      </c>
      <c r="Q444">
        <v>39.950000000000003</v>
      </c>
      <c r="R444">
        <v>45.66</v>
      </c>
      <c r="S444">
        <v>90000</v>
      </c>
      <c r="T444">
        <v>8190000</v>
      </c>
    </row>
    <row r="445" spans="1:20" x14ac:dyDescent="0.25">
      <c r="A445" t="s">
        <v>42</v>
      </c>
      <c r="B445" t="s">
        <v>43</v>
      </c>
      <c r="C445" t="s">
        <v>37</v>
      </c>
      <c r="D445" t="s">
        <v>116</v>
      </c>
      <c r="E445" t="s">
        <v>117</v>
      </c>
      <c r="F445" t="s">
        <v>118</v>
      </c>
      <c r="G445" t="s">
        <v>26</v>
      </c>
      <c r="H445">
        <v>704</v>
      </c>
      <c r="I445">
        <v>2231.7800000000002</v>
      </c>
      <c r="J445">
        <v>702.46</v>
      </c>
      <c r="K445">
        <v>31.48</v>
      </c>
      <c r="L445">
        <v>-494.45</v>
      </c>
      <c r="M445">
        <v>-22.16</v>
      </c>
      <c r="N445">
        <v>1.77</v>
      </c>
      <c r="O445">
        <v>32.799999999999997</v>
      </c>
      <c r="P445">
        <v>0</v>
      </c>
      <c r="Q445">
        <v>75.489999999999995</v>
      </c>
      <c r="R445">
        <v>85.77</v>
      </c>
      <c r="S445">
        <v>90000</v>
      </c>
      <c r="T445">
        <v>8190000</v>
      </c>
    </row>
    <row r="446" spans="1:20" x14ac:dyDescent="0.25">
      <c r="A446" t="s">
        <v>44</v>
      </c>
      <c r="B446" t="s">
        <v>45</v>
      </c>
      <c r="C446" t="s">
        <v>37</v>
      </c>
      <c r="D446" t="s">
        <v>116</v>
      </c>
      <c r="E446" t="s">
        <v>117</v>
      </c>
      <c r="F446" t="s">
        <v>118</v>
      </c>
      <c r="G446" t="s">
        <v>26</v>
      </c>
      <c r="H446">
        <v>704</v>
      </c>
      <c r="I446">
        <v>2235.91</v>
      </c>
      <c r="J446">
        <v>744.63</v>
      </c>
      <c r="K446">
        <v>33.299999999999997</v>
      </c>
      <c r="L446">
        <v>-552.73</v>
      </c>
      <c r="M446">
        <v>-24.72</v>
      </c>
      <c r="N446">
        <v>1.78</v>
      </c>
      <c r="O446">
        <v>18</v>
      </c>
      <c r="P446">
        <v>1.37</v>
      </c>
      <c r="Q446">
        <v>76.83</v>
      </c>
      <c r="R446">
        <v>90.92</v>
      </c>
      <c r="S446">
        <v>90000</v>
      </c>
      <c r="T446">
        <v>8190000</v>
      </c>
    </row>
    <row r="447" spans="1:20" x14ac:dyDescent="0.25">
      <c r="A447" t="s">
        <v>46</v>
      </c>
      <c r="B447" t="s">
        <v>47</v>
      </c>
      <c r="C447" t="s">
        <v>48</v>
      </c>
      <c r="D447" t="s">
        <v>116</v>
      </c>
      <c r="E447" t="s">
        <v>117</v>
      </c>
      <c r="F447" t="s">
        <v>118</v>
      </c>
      <c r="G447" t="s">
        <v>26</v>
      </c>
      <c r="H447">
        <v>704</v>
      </c>
      <c r="I447">
        <v>7142.84</v>
      </c>
      <c r="J447">
        <v>736.44</v>
      </c>
      <c r="K447">
        <v>10.31</v>
      </c>
      <c r="L447">
        <v>240.12</v>
      </c>
      <c r="M447">
        <v>3.36</v>
      </c>
      <c r="N447">
        <v>5.74</v>
      </c>
      <c r="O447">
        <v>56.5</v>
      </c>
      <c r="P447">
        <v>0</v>
      </c>
      <c r="Q447">
        <v>78.97</v>
      </c>
      <c r="R447">
        <v>89.92</v>
      </c>
      <c r="S447">
        <v>90000</v>
      </c>
      <c r="T447">
        <v>8190000</v>
      </c>
    </row>
    <row r="448" spans="1:20" x14ac:dyDescent="0.25">
      <c r="A448" t="s">
        <v>49</v>
      </c>
      <c r="B448" t="s">
        <v>50</v>
      </c>
      <c r="C448" t="s">
        <v>48</v>
      </c>
      <c r="D448" t="s">
        <v>116</v>
      </c>
      <c r="E448" t="s">
        <v>117</v>
      </c>
      <c r="F448" t="s">
        <v>118</v>
      </c>
      <c r="G448" t="s">
        <v>26</v>
      </c>
      <c r="H448">
        <v>704</v>
      </c>
      <c r="I448">
        <v>6403.27</v>
      </c>
      <c r="J448">
        <v>853.81</v>
      </c>
      <c r="K448">
        <v>13.33</v>
      </c>
      <c r="L448">
        <v>412.16</v>
      </c>
      <c r="M448">
        <v>6.44</v>
      </c>
      <c r="N448">
        <v>5.21</v>
      </c>
      <c r="O448">
        <v>7.1</v>
      </c>
      <c r="P448">
        <v>9.6</v>
      </c>
      <c r="Q448">
        <v>86.82</v>
      </c>
      <c r="R448">
        <v>104.25</v>
      </c>
      <c r="S448">
        <v>90000</v>
      </c>
      <c r="T448">
        <v>8190000</v>
      </c>
    </row>
    <row r="449" spans="1:20" x14ac:dyDescent="0.25">
      <c r="A449" t="s">
        <v>51</v>
      </c>
      <c r="B449" t="s">
        <v>52</v>
      </c>
      <c r="C449" t="s">
        <v>48</v>
      </c>
      <c r="D449" t="s">
        <v>116</v>
      </c>
      <c r="E449" t="s">
        <v>117</v>
      </c>
      <c r="F449" t="s">
        <v>118</v>
      </c>
      <c r="G449" t="s">
        <v>26</v>
      </c>
      <c r="H449">
        <v>704</v>
      </c>
      <c r="I449">
        <v>6959.22</v>
      </c>
      <c r="J449">
        <v>666.99</v>
      </c>
      <c r="K449">
        <v>9.58</v>
      </c>
      <c r="L449">
        <v>46.91</v>
      </c>
      <c r="M449">
        <v>0.67</v>
      </c>
      <c r="N449">
        <v>5.12</v>
      </c>
      <c r="O449">
        <v>45.8</v>
      </c>
      <c r="P449">
        <v>0</v>
      </c>
      <c r="Q449">
        <v>72.010000000000005</v>
      </c>
      <c r="R449">
        <v>81.44</v>
      </c>
      <c r="S449">
        <v>90000</v>
      </c>
      <c r="T449">
        <v>8190000</v>
      </c>
    </row>
    <row r="450" spans="1:20" x14ac:dyDescent="0.25">
      <c r="A450" t="s">
        <v>53</v>
      </c>
      <c r="B450" t="s">
        <v>54</v>
      </c>
      <c r="C450" t="s">
        <v>55</v>
      </c>
      <c r="D450" t="s">
        <v>116</v>
      </c>
      <c r="E450" t="s">
        <v>117</v>
      </c>
      <c r="F450" t="s">
        <v>118</v>
      </c>
      <c r="G450" t="s">
        <v>26</v>
      </c>
      <c r="H450">
        <v>704</v>
      </c>
      <c r="I450">
        <v>8425.81</v>
      </c>
      <c r="J450">
        <v>1078.05</v>
      </c>
      <c r="K450">
        <v>12.79</v>
      </c>
      <c r="L450">
        <v>721.21</v>
      </c>
      <c r="M450">
        <v>8.56</v>
      </c>
      <c r="N450">
        <v>5.72</v>
      </c>
      <c r="O450">
        <v>37.6</v>
      </c>
      <c r="P450">
        <v>187.5</v>
      </c>
      <c r="Q450">
        <v>109.53</v>
      </c>
      <c r="R450">
        <v>131.63</v>
      </c>
      <c r="S450">
        <v>90000</v>
      </c>
      <c r="T450">
        <v>8190000</v>
      </c>
    </row>
    <row r="451" spans="1:20" x14ac:dyDescent="0.25">
      <c r="A451" t="s">
        <v>56</v>
      </c>
      <c r="B451" t="s">
        <v>57</v>
      </c>
      <c r="C451" t="s">
        <v>55</v>
      </c>
      <c r="D451" t="s">
        <v>116</v>
      </c>
      <c r="E451" t="s">
        <v>117</v>
      </c>
      <c r="F451" t="s">
        <v>118</v>
      </c>
      <c r="G451" t="s">
        <v>26</v>
      </c>
      <c r="H451">
        <v>704</v>
      </c>
      <c r="I451">
        <v>8600.16</v>
      </c>
      <c r="J451">
        <v>773.87</v>
      </c>
      <c r="K451">
        <v>9</v>
      </c>
      <c r="L451">
        <v>631.23</v>
      </c>
      <c r="M451">
        <v>7.34</v>
      </c>
      <c r="N451">
        <v>6.49</v>
      </c>
      <c r="O451">
        <v>65</v>
      </c>
      <c r="P451">
        <v>25.09</v>
      </c>
      <c r="Q451">
        <v>80.69</v>
      </c>
      <c r="R451">
        <v>94.49</v>
      </c>
      <c r="S451">
        <v>90000</v>
      </c>
      <c r="T451">
        <v>8190000</v>
      </c>
    </row>
    <row r="452" spans="1:20" x14ac:dyDescent="0.25">
      <c r="A452" t="s">
        <v>58</v>
      </c>
      <c r="B452" t="s">
        <v>59</v>
      </c>
      <c r="C452" t="s">
        <v>55</v>
      </c>
      <c r="D452" t="s">
        <v>116</v>
      </c>
      <c r="E452" t="s">
        <v>117</v>
      </c>
      <c r="F452" t="s">
        <v>118</v>
      </c>
      <c r="G452" t="s">
        <v>26</v>
      </c>
      <c r="H452">
        <v>704</v>
      </c>
      <c r="I452">
        <v>9759.43</v>
      </c>
      <c r="J452">
        <v>864.54</v>
      </c>
      <c r="K452">
        <v>8.86</v>
      </c>
      <c r="L452">
        <v>458.02</v>
      </c>
      <c r="M452">
        <v>4.6900000000000004</v>
      </c>
      <c r="N452">
        <v>7.37</v>
      </c>
      <c r="O452">
        <v>20.7</v>
      </c>
      <c r="P452">
        <v>30.94</v>
      </c>
      <c r="Q452">
        <v>93.25</v>
      </c>
      <c r="R452">
        <v>105.56</v>
      </c>
      <c r="S452">
        <v>90000</v>
      </c>
      <c r="T452">
        <v>8190000</v>
      </c>
    </row>
    <row r="453" spans="1:20" x14ac:dyDescent="0.25">
      <c r="A453" t="s">
        <v>60</v>
      </c>
      <c r="B453" t="s">
        <v>61</v>
      </c>
      <c r="C453" t="s">
        <v>62</v>
      </c>
      <c r="D453" t="s">
        <v>116</v>
      </c>
      <c r="E453" t="s">
        <v>117</v>
      </c>
      <c r="F453" t="s">
        <v>118</v>
      </c>
      <c r="G453" t="s">
        <v>26</v>
      </c>
      <c r="H453">
        <v>704</v>
      </c>
      <c r="I453">
        <v>9507.16</v>
      </c>
      <c r="J453">
        <v>795.49</v>
      </c>
      <c r="K453">
        <v>8.3699999999999992</v>
      </c>
      <c r="L453">
        <v>781.88</v>
      </c>
      <c r="M453">
        <v>8.2200000000000006</v>
      </c>
      <c r="N453">
        <v>6.59</v>
      </c>
      <c r="O453">
        <v>43</v>
      </c>
      <c r="P453">
        <v>27.1</v>
      </c>
      <c r="Q453">
        <v>84.29</v>
      </c>
      <c r="R453">
        <v>97.13</v>
      </c>
      <c r="S453">
        <v>90000</v>
      </c>
      <c r="T453">
        <v>8190000</v>
      </c>
    </row>
    <row r="454" spans="1:20" x14ac:dyDescent="0.25">
      <c r="A454" t="s">
        <v>63</v>
      </c>
      <c r="B454" t="s">
        <v>64</v>
      </c>
      <c r="C454" t="s">
        <v>62</v>
      </c>
      <c r="D454" t="s">
        <v>116</v>
      </c>
      <c r="E454" t="s">
        <v>117</v>
      </c>
      <c r="F454" t="s">
        <v>118</v>
      </c>
      <c r="G454" t="s">
        <v>26</v>
      </c>
      <c r="H454">
        <v>704</v>
      </c>
      <c r="I454">
        <v>8658.09</v>
      </c>
      <c r="J454">
        <v>835.13</v>
      </c>
      <c r="K454">
        <v>9.65</v>
      </c>
      <c r="L454">
        <v>603.72</v>
      </c>
      <c r="M454">
        <v>6.97</v>
      </c>
      <c r="N454">
        <v>7.03</v>
      </c>
      <c r="O454">
        <v>6.1</v>
      </c>
      <c r="P454">
        <v>6.78</v>
      </c>
      <c r="Q454">
        <v>88.18</v>
      </c>
      <c r="R454">
        <v>101.97</v>
      </c>
      <c r="S454">
        <v>90000</v>
      </c>
      <c r="T454">
        <v>8190000</v>
      </c>
    </row>
    <row r="455" spans="1:20" x14ac:dyDescent="0.25">
      <c r="A455" t="s">
        <v>65</v>
      </c>
      <c r="B455" t="s">
        <v>66</v>
      </c>
      <c r="C455" t="s">
        <v>62</v>
      </c>
      <c r="D455" t="s">
        <v>116</v>
      </c>
      <c r="E455" t="s">
        <v>117</v>
      </c>
      <c r="F455" t="s">
        <v>118</v>
      </c>
      <c r="G455" t="s">
        <v>26</v>
      </c>
      <c r="H455">
        <v>704</v>
      </c>
      <c r="I455">
        <v>9241.74</v>
      </c>
      <c r="J455">
        <v>798.69</v>
      </c>
      <c r="K455">
        <v>8.64</v>
      </c>
      <c r="L455">
        <v>1104.47</v>
      </c>
      <c r="M455">
        <v>11.95</v>
      </c>
      <c r="N455">
        <v>7.5</v>
      </c>
      <c r="O455">
        <v>36.4</v>
      </c>
      <c r="P455">
        <v>24.29</v>
      </c>
      <c r="Q455">
        <v>85.16</v>
      </c>
      <c r="R455">
        <v>97.52</v>
      </c>
      <c r="S455">
        <v>90000</v>
      </c>
      <c r="T455">
        <v>8190000</v>
      </c>
    </row>
    <row r="456" spans="1:20" x14ac:dyDescent="0.25">
      <c r="A456" t="s">
        <v>67</v>
      </c>
      <c r="B456" t="s">
        <v>68</v>
      </c>
      <c r="C456" t="s">
        <v>69</v>
      </c>
      <c r="D456" t="s">
        <v>116</v>
      </c>
      <c r="E456" t="s">
        <v>117</v>
      </c>
      <c r="F456" t="s">
        <v>118</v>
      </c>
      <c r="G456" t="s">
        <v>26</v>
      </c>
      <c r="H456">
        <v>704</v>
      </c>
      <c r="I456">
        <v>8826.2099999999991</v>
      </c>
      <c r="J456">
        <v>736.77</v>
      </c>
      <c r="K456">
        <v>8.35</v>
      </c>
      <c r="L456">
        <v>1183.47</v>
      </c>
      <c r="M456">
        <v>13.41</v>
      </c>
      <c r="N456">
        <v>6.95</v>
      </c>
      <c r="O456">
        <v>25.7</v>
      </c>
      <c r="P456">
        <v>0</v>
      </c>
      <c r="Q456">
        <v>78.33</v>
      </c>
      <c r="R456">
        <v>89.96</v>
      </c>
      <c r="S456">
        <v>90000</v>
      </c>
      <c r="T456">
        <v>8190000</v>
      </c>
    </row>
    <row r="457" spans="1:20" x14ac:dyDescent="0.25">
      <c r="A457" t="s">
        <v>70</v>
      </c>
      <c r="B457" t="s">
        <v>71</v>
      </c>
      <c r="C457" t="s">
        <v>69</v>
      </c>
      <c r="D457" t="s">
        <v>116</v>
      </c>
      <c r="E457" t="s">
        <v>117</v>
      </c>
      <c r="F457" t="s">
        <v>118</v>
      </c>
      <c r="G457" t="s">
        <v>26</v>
      </c>
      <c r="H457">
        <v>704</v>
      </c>
      <c r="I457">
        <v>8972.67</v>
      </c>
      <c r="J457">
        <v>810.97</v>
      </c>
      <c r="K457">
        <v>9.0399999999999991</v>
      </c>
      <c r="L457">
        <v>401.72</v>
      </c>
      <c r="M457">
        <v>4.4800000000000004</v>
      </c>
      <c r="N457">
        <v>6.32</v>
      </c>
      <c r="O457">
        <v>50.5</v>
      </c>
      <c r="P457">
        <v>41.05</v>
      </c>
      <c r="Q457">
        <v>84.61</v>
      </c>
      <c r="R457">
        <v>99.02</v>
      </c>
      <c r="S457">
        <v>90000</v>
      </c>
      <c r="T457">
        <v>8190000</v>
      </c>
    </row>
    <row r="458" spans="1:20" x14ac:dyDescent="0.25">
      <c r="A458" t="s">
        <v>72</v>
      </c>
      <c r="B458" t="s">
        <v>73</v>
      </c>
      <c r="C458" t="s">
        <v>69</v>
      </c>
      <c r="D458" t="s">
        <v>116</v>
      </c>
      <c r="E458" t="s">
        <v>117</v>
      </c>
      <c r="F458" t="s">
        <v>118</v>
      </c>
      <c r="G458" t="s">
        <v>26</v>
      </c>
      <c r="H458">
        <v>704</v>
      </c>
      <c r="I458">
        <v>8773.51</v>
      </c>
      <c r="J458">
        <v>833.58</v>
      </c>
      <c r="K458">
        <v>9.5</v>
      </c>
      <c r="L458">
        <v>464.48</v>
      </c>
      <c r="M458">
        <v>5.29</v>
      </c>
      <c r="N458">
        <v>6.18</v>
      </c>
      <c r="O458">
        <v>25.7</v>
      </c>
      <c r="P458">
        <v>28.04</v>
      </c>
      <c r="Q458">
        <v>84.06</v>
      </c>
      <c r="R458">
        <v>101.78</v>
      </c>
      <c r="S458">
        <v>90000</v>
      </c>
      <c r="T458">
        <v>8190000</v>
      </c>
    </row>
    <row r="459" spans="1:20" x14ac:dyDescent="0.25">
      <c r="A459" t="s">
        <v>74</v>
      </c>
      <c r="B459" t="s">
        <v>75</v>
      </c>
      <c r="C459" t="s">
        <v>69</v>
      </c>
      <c r="D459" t="s">
        <v>116</v>
      </c>
      <c r="E459" t="s">
        <v>117</v>
      </c>
      <c r="F459" t="s">
        <v>118</v>
      </c>
      <c r="G459" t="s">
        <v>26</v>
      </c>
      <c r="H459">
        <v>704</v>
      </c>
      <c r="I459">
        <v>8868.67</v>
      </c>
      <c r="J459">
        <v>769.7</v>
      </c>
      <c r="K459">
        <v>8.68</v>
      </c>
      <c r="L459">
        <v>1156.74</v>
      </c>
      <c r="M459">
        <v>13.04</v>
      </c>
      <c r="N459">
        <v>6.33</v>
      </c>
      <c r="O459">
        <v>59.8</v>
      </c>
      <c r="P459">
        <v>20.350000000000001</v>
      </c>
      <c r="Q459">
        <v>80.400000000000006</v>
      </c>
      <c r="R459">
        <v>93.98</v>
      </c>
      <c r="S459">
        <v>90000</v>
      </c>
      <c r="T459">
        <v>8190000</v>
      </c>
    </row>
    <row r="460" spans="1:20" x14ac:dyDescent="0.25">
      <c r="A460" t="s">
        <v>76</v>
      </c>
      <c r="B460" t="s">
        <v>77</v>
      </c>
      <c r="C460" t="s">
        <v>69</v>
      </c>
      <c r="D460" t="s">
        <v>116</v>
      </c>
      <c r="E460" t="s">
        <v>117</v>
      </c>
      <c r="F460" t="s">
        <v>118</v>
      </c>
      <c r="G460" t="s">
        <v>26</v>
      </c>
      <c r="H460">
        <v>704</v>
      </c>
      <c r="I460">
        <v>9810.19</v>
      </c>
      <c r="J460">
        <v>921.54</v>
      </c>
      <c r="K460">
        <v>9.39</v>
      </c>
      <c r="L460">
        <v>1132.8800000000001</v>
      </c>
      <c r="M460">
        <v>11.55</v>
      </c>
      <c r="N460">
        <v>6.64</v>
      </c>
      <c r="O460">
        <v>15.6</v>
      </c>
      <c r="P460">
        <v>35.97</v>
      </c>
      <c r="Q460">
        <v>94.78</v>
      </c>
      <c r="R460">
        <v>112.52</v>
      </c>
      <c r="S460">
        <v>90000</v>
      </c>
      <c r="T460">
        <v>8190000</v>
      </c>
    </row>
    <row r="461" spans="1:20" x14ac:dyDescent="0.25">
      <c r="A461" t="s">
        <v>78</v>
      </c>
      <c r="B461" t="s">
        <v>79</v>
      </c>
      <c r="C461" t="s">
        <v>80</v>
      </c>
      <c r="D461" t="s">
        <v>116</v>
      </c>
      <c r="E461" t="s">
        <v>117</v>
      </c>
      <c r="F461" t="s">
        <v>118</v>
      </c>
      <c r="G461" t="s">
        <v>26</v>
      </c>
      <c r="H461">
        <v>704</v>
      </c>
      <c r="I461">
        <v>8961.26</v>
      </c>
      <c r="J461">
        <v>831.61</v>
      </c>
      <c r="K461">
        <v>9.2799999999999994</v>
      </c>
      <c r="L461">
        <v>844.83</v>
      </c>
      <c r="M461">
        <v>9.43</v>
      </c>
      <c r="N461">
        <v>6.27</v>
      </c>
      <c r="O461">
        <v>5</v>
      </c>
      <c r="P461">
        <v>5.33</v>
      </c>
      <c r="Q461">
        <v>85.13</v>
      </c>
      <c r="R461">
        <v>101.54</v>
      </c>
      <c r="S461">
        <v>90000</v>
      </c>
      <c r="T461">
        <v>8190000</v>
      </c>
    </row>
    <row r="462" spans="1:20" x14ac:dyDescent="0.25">
      <c r="A462" t="s">
        <v>81</v>
      </c>
      <c r="B462" t="s">
        <v>82</v>
      </c>
      <c r="C462" t="s">
        <v>80</v>
      </c>
      <c r="D462" t="s">
        <v>116</v>
      </c>
      <c r="E462" t="s">
        <v>117</v>
      </c>
      <c r="F462" t="s">
        <v>118</v>
      </c>
      <c r="G462" t="s">
        <v>26</v>
      </c>
      <c r="H462">
        <v>704</v>
      </c>
      <c r="I462">
        <v>8853.6299999999992</v>
      </c>
      <c r="J462">
        <v>986.32</v>
      </c>
      <c r="K462">
        <v>11.14</v>
      </c>
      <c r="L462">
        <v>643.97</v>
      </c>
      <c r="M462">
        <v>7.27</v>
      </c>
      <c r="N462">
        <v>6.05</v>
      </c>
      <c r="O462">
        <v>12.7</v>
      </c>
      <c r="P462">
        <v>42.35</v>
      </c>
      <c r="Q462">
        <v>101.77</v>
      </c>
      <c r="R462">
        <v>120.43</v>
      </c>
      <c r="S462">
        <v>90000</v>
      </c>
      <c r="T462">
        <v>8190000</v>
      </c>
    </row>
    <row r="463" spans="1:20" x14ac:dyDescent="0.25">
      <c r="A463" t="s">
        <v>83</v>
      </c>
      <c r="B463" t="s">
        <v>84</v>
      </c>
      <c r="C463" t="s">
        <v>80</v>
      </c>
      <c r="D463" t="s">
        <v>116</v>
      </c>
      <c r="E463" t="s">
        <v>117</v>
      </c>
      <c r="F463" t="s">
        <v>118</v>
      </c>
      <c r="G463" t="s">
        <v>26</v>
      </c>
      <c r="H463">
        <v>704</v>
      </c>
      <c r="I463">
        <v>8843.18</v>
      </c>
      <c r="J463">
        <v>919.08</v>
      </c>
      <c r="K463">
        <v>10.39</v>
      </c>
      <c r="L463">
        <v>1036.74</v>
      </c>
      <c r="M463">
        <v>11.72</v>
      </c>
      <c r="N463">
        <v>6.2</v>
      </c>
      <c r="O463">
        <v>51.5</v>
      </c>
      <c r="P463">
        <v>116.86</v>
      </c>
      <c r="Q463">
        <v>93.24</v>
      </c>
      <c r="R463">
        <v>112.22</v>
      </c>
      <c r="S463">
        <v>90000</v>
      </c>
      <c r="T463">
        <v>8190000</v>
      </c>
    </row>
    <row r="464" spans="1:20" x14ac:dyDescent="0.25">
      <c r="A464" t="s">
        <v>85</v>
      </c>
      <c r="B464" t="s">
        <v>86</v>
      </c>
      <c r="C464" t="s">
        <v>80</v>
      </c>
      <c r="D464" t="s">
        <v>116</v>
      </c>
      <c r="E464" t="s">
        <v>117</v>
      </c>
      <c r="F464" t="s">
        <v>118</v>
      </c>
      <c r="G464" t="s">
        <v>26</v>
      </c>
      <c r="H464">
        <v>704</v>
      </c>
      <c r="I464">
        <v>9246.18</v>
      </c>
      <c r="J464">
        <v>914.58</v>
      </c>
      <c r="K464">
        <v>9.89</v>
      </c>
      <c r="L464">
        <v>1070.57</v>
      </c>
      <c r="M464">
        <v>11.58</v>
      </c>
      <c r="N464">
        <v>6.87</v>
      </c>
      <c r="O464">
        <v>58.6</v>
      </c>
      <c r="P464">
        <v>129.04</v>
      </c>
      <c r="Q464">
        <v>99.34</v>
      </c>
      <c r="R464">
        <v>111.67</v>
      </c>
      <c r="S464">
        <v>90000</v>
      </c>
      <c r="T464">
        <v>8190000</v>
      </c>
    </row>
    <row r="465" spans="1:20" x14ac:dyDescent="0.25">
      <c r="A465" t="s">
        <v>87</v>
      </c>
      <c r="B465" t="s">
        <v>88</v>
      </c>
      <c r="C465" t="s">
        <v>89</v>
      </c>
      <c r="D465" t="s">
        <v>116</v>
      </c>
      <c r="E465" t="s">
        <v>117</v>
      </c>
      <c r="F465" t="s">
        <v>118</v>
      </c>
      <c r="G465" t="s">
        <v>26</v>
      </c>
      <c r="H465">
        <v>704</v>
      </c>
      <c r="I465">
        <v>6873.26</v>
      </c>
      <c r="J465">
        <v>1202.29</v>
      </c>
      <c r="K465">
        <v>17.489999999999998</v>
      </c>
      <c r="L465">
        <v>-664.22</v>
      </c>
      <c r="M465">
        <v>-9.66</v>
      </c>
      <c r="N465">
        <v>4.8099999999999996</v>
      </c>
      <c r="O465">
        <v>57.4</v>
      </c>
      <c r="P465">
        <v>435.54</v>
      </c>
      <c r="Q465">
        <v>130.88</v>
      </c>
      <c r="R465">
        <v>146.80000000000001</v>
      </c>
      <c r="S465">
        <v>90000</v>
      </c>
      <c r="T465">
        <v>8190000</v>
      </c>
    </row>
    <row r="466" spans="1:20" x14ac:dyDescent="0.25">
      <c r="A466" t="s">
        <v>20</v>
      </c>
      <c r="B466" t="s">
        <v>21</v>
      </c>
      <c r="C466" t="s">
        <v>22</v>
      </c>
      <c r="D466" t="s">
        <v>119</v>
      </c>
      <c r="E466" t="s">
        <v>120</v>
      </c>
      <c r="F466" t="s">
        <v>118</v>
      </c>
      <c r="G466" t="s">
        <v>26</v>
      </c>
      <c r="H466">
        <v>290</v>
      </c>
      <c r="I466">
        <v>3385.63</v>
      </c>
      <c r="J466">
        <v>420.78</v>
      </c>
      <c r="K466">
        <v>12.43</v>
      </c>
      <c r="L466">
        <v>290.3</v>
      </c>
      <c r="M466">
        <v>8.57</v>
      </c>
      <c r="N466">
        <v>2.64</v>
      </c>
      <c r="O466">
        <v>40.5</v>
      </c>
      <c r="P466">
        <v>0</v>
      </c>
      <c r="Q466">
        <v>63</v>
      </c>
      <c r="R466">
        <v>74.58</v>
      </c>
      <c r="S466">
        <v>62000</v>
      </c>
      <c r="T466">
        <v>5642000</v>
      </c>
    </row>
    <row r="467" spans="1:20" x14ac:dyDescent="0.25">
      <c r="A467" t="s">
        <v>27</v>
      </c>
      <c r="B467" t="s">
        <v>28</v>
      </c>
      <c r="C467" t="s">
        <v>22</v>
      </c>
      <c r="D467" t="s">
        <v>119</v>
      </c>
      <c r="E467" t="s">
        <v>120</v>
      </c>
      <c r="F467" t="s">
        <v>118</v>
      </c>
      <c r="G467" t="s">
        <v>26</v>
      </c>
      <c r="H467">
        <v>290</v>
      </c>
      <c r="I467">
        <v>3575.99</v>
      </c>
      <c r="J467">
        <v>413.78</v>
      </c>
      <c r="K467">
        <v>11.57</v>
      </c>
      <c r="L467">
        <v>353.66</v>
      </c>
      <c r="M467">
        <v>9.89</v>
      </c>
      <c r="N467">
        <v>3.04</v>
      </c>
      <c r="O467">
        <v>9.1999999999999993</v>
      </c>
      <c r="P467">
        <v>0</v>
      </c>
      <c r="Q467">
        <v>64.790000000000006</v>
      </c>
      <c r="R467">
        <v>73.34</v>
      </c>
      <c r="S467">
        <v>62000</v>
      </c>
      <c r="T467">
        <v>5642000</v>
      </c>
    </row>
    <row r="468" spans="1:20" x14ac:dyDescent="0.25">
      <c r="A468" t="s">
        <v>29</v>
      </c>
      <c r="B468" t="s">
        <v>30</v>
      </c>
      <c r="C468" t="s">
        <v>22</v>
      </c>
      <c r="D468" t="s">
        <v>119</v>
      </c>
      <c r="E468" t="s">
        <v>120</v>
      </c>
      <c r="F468" t="s">
        <v>118</v>
      </c>
      <c r="G468" t="s">
        <v>26</v>
      </c>
      <c r="H468">
        <v>290</v>
      </c>
      <c r="I468">
        <v>3485.17</v>
      </c>
      <c r="J468">
        <v>401.2</v>
      </c>
      <c r="K468">
        <v>11.51</v>
      </c>
      <c r="L468">
        <v>419.2</v>
      </c>
      <c r="M468">
        <v>12.03</v>
      </c>
      <c r="N468">
        <v>2.61</v>
      </c>
      <c r="O468">
        <v>58.9</v>
      </c>
      <c r="P468">
        <v>0</v>
      </c>
      <c r="Q468">
        <v>60.46</v>
      </c>
      <c r="R468">
        <v>71.11</v>
      </c>
      <c r="S468">
        <v>62000</v>
      </c>
      <c r="T468">
        <v>5642000</v>
      </c>
    </row>
    <row r="469" spans="1:20" x14ac:dyDescent="0.25">
      <c r="A469" t="s">
        <v>31</v>
      </c>
      <c r="B469" t="s">
        <v>32</v>
      </c>
      <c r="C469" t="s">
        <v>22</v>
      </c>
      <c r="D469" t="s">
        <v>119</v>
      </c>
      <c r="E469" t="s">
        <v>120</v>
      </c>
      <c r="F469" t="s">
        <v>118</v>
      </c>
      <c r="G469" t="s">
        <v>26</v>
      </c>
      <c r="H469">
        <v>290</v>
      </c>
      <c r="I469">
        <v>3622.08</v>
      </c>
      <c r="J469">
        <v>434.26</v>
      </c>
      <c r="K469">
        <v>11.99</v>
      </c>
      <c r="L469">
        <v>174.54</v>
      </c>
      <c r="M469">
        <v>4.82</v>
      </c>
      <c r="N469">
        <v>2.6</v>
      </c>
      <c r="O469">
        <v>49.6</v>
      </c>
      <c r="P469">
        <v>0</v>
      </c>
      <c r="Q469">
        <v>65.66</v>
      </c>
      <c r="R469">
        <v>76.97</v>
      </c>
      <c r="S469">
        <v>62000</v>
      </c>
      <c r="T469">
        <v>5642000</v>
      </c>
    </row>
    <row r="470" spans="1:20" x14ac:dyDescent="0.25">
      <c r="A470" t="s">
        <v>33</v>
      </c>
      <c r="B470" t="s">
        <v>34</v>
      </c>
      <c r="C470" t="s">
        <v>22</v>
      </c>
      <c r="D470" t="s">
        <v>119</v>
      </c>
      <c r="E470" t="s">
        <v>120</v>
      </c>
      <c r="F470" t="s">
        <v>118</v>
      </c>
      <c r="G470" t="s">
        <v>26</v>
      </c>
      <c r="H470">
        <v>290</v>
      </c>
      <c r="I470">
        <v>3767.71</v>
      </c>
      <c r="J470">
        <v>425.29</v>
      </c>
      <c r="K470">
        <v>11.29</v>
      </c>
      <c r="L470">
        <v>241.08</v>
      </c>
      <c r="M470">
        <v>6.4</v>
      </c>
      <c r="N470">
        <v>2.83</v>
      </c>
      <c r="O470">
        <v>62</v>
      </c>
      <c r="P470">
        <v>0</v>
      </c>
      <c r="Q470">
        <v>66.66</v>
      </c>
      <c r="R470">
        <v>75.38</v>
      </c>
      <c r="S470">
        <v>62000</v>
      </c>
      <c r="T470">
        <v>5642000</v>
      </c>
    </row>
    <row r="471" spans="1:20" x14ac:dyDescent="0.25">
      <c r="A471" t="s">
        <v>35</v>
      </c>
      <c r="B471" t="s">
        <v>36</v>
      </c>
      <c r="C471" t="s">
        <v>37</v>
      </c>
      <c r="D471" t="s">
        <v>119</v>
      </c>
      <c r="E471" t="s">
        <v>120</v>
      </c>
      <c r="F471" t="s">
        <v>118</v>
      </c>
      <c r="G471" t="s">
        <v>26</v>
      </c>
      <c r="H471">
        <v>290</v>
      </c>
      <c r="I471">
        <v>998.39</v>
      </c>
      <c r="J471">
        <v>133.66</v>
      </c>
      <c r="K471">
        <v>13.39</v>
      </c>
      <c r="L471">
        <v>-407.44</v>
      </c>
      <c r="M471">
        <v>-40.81</v>
      </c>
      <c r="N471">
        <v>0.78</v>
      </c>
      <c r="O471">
        <v>59.2</v>
      </c>
      <c r="P471">
        <v>0</v>
      </c>
      <c r="Q471">
        <v>20.57</v>
      </c>
      <c r="R471">
        <v>23.69</v>
      </c>
      <c r="S471">
        <v>62000</v>
      </c>
      <c r="T471">
        <v>5642000</v>
      </c>
    </row>
    <row r="472" spans="1:20" x14ac:dyDescent="0.25">
      <c r="A472" t="s">
        <v>38</v>
      </c>
      <c r="B472" t="s">
        <v>39</v>
      </c>
      <c r="C472" t="s">
        <v>37</v>
      </c>
      <c r="D472" t="s">
        <v>119</v>
      </c>
      <c r="E472" t="s">
        <v>120</v>
      </c>
      <c r="F472" t="s">
        <v>118</v>
      </c>
      <c r="G472" t="s">
        <v>26</v>
      </c>
      <c r="H472">
        <v>290</v>
      </c>
      <c r="I472">
        <v>973.53</v>
      </c>
      <c r="J472">
        <v>284.52999999999997</v>
      </c>
      <c r="K472">
        <v>29.23</v>
      </c>
      <c r="L472">
        <v>-338.92</v>
      </c>
      <c r="M472">
        <v>-34.81</v>
      </c>
      <c r="N472">
        <v>0.72</v>
      </c>
      <c r="O472">
        <v>47.2</v>
      </c>
      <c r="P472">
        <v>0</v>
      </c>
      <c r="Q472">
        <v>44.05</v>
      </c>
      <c r="R472">
        <v>50.43</v>
      </c>
      <c r="S472">
        <v>62000</v>
      </c>
      <c r="T472">
        <v>5642000</v>
      </c>
    </row>
    <row r="473" spans="1:20" x14ac:dyDescent="0.25">
      <c r="A473" t="s">
        <v>40</v>
      </c>
      <c r="B473" t="s">
        <v>41</v>
      </c>
      <c r="C473" t="s">
        <v>37</v>
      </c>
      <c r="D473" t="s">
        <v>119</v>
      </c>
      <c r="E473" t="s">
        <v>120</v>
      </c>
      <c r="F473" t="s">
        <v>118</v>
      </c>
      <c r="G473" t="s">
        <v>26</v>
      </c>
      <c r="H473">
        <v>290</v>
      </c>
      <c r="I473">
        <v>728.72</v>
      </c>
      <c r="J473">
        <v>257.61</v>
      </c>
      <c r="K473">
        <v>35.35</v>
      </c>
      <c r="L473">
        <v>-224.83</v>
      </c>
      <c r="M473">
        <v>-30.85</v>
      </c>
      <c r="N473">
        <v>0.59</v>
      </c>
      <c r="O473">
        <v>36.1</v>
      </c>
      <c r="P473">
        <v>0</v>
      </c>
      <c r="Q473">
        <v>39.950000000000003</v>
      </c>
      <c r="R473">
        <v>45.66</v>
      </c>
      <c r="S473">
        <v>62000</v>
      </c>
      <c r="T473">
        <v>5642000</v>
      </c>
    </row>
    <row r="474" spans="1:20" x14ac:dyDescent="0.25">
      <c r="A474" t="s">
        <v>42</v>
      </c>
      <c r="B474" t="s">
        <v>43</v>
      </c>
      <c r="C474" t="s">
        <v>37</v>
      </c>
      <c r="D474" t="s">
        <v>119</v>
      </c>
      <c r="E474" t="s">
        <v>120</v>
      </c>
      <c r="F474" t="s">
        <v>118</v>
      </c>
      <c r="G474" t="s">
        <v>26</v>
      </c>
      <c r="H474">
        <v>290</v>
      </c>
      <c r="I474">
        <v>707.51</v>
      </c>
      <c r="J474">
        <v>483.91</v>
      </c>
      <c r="K474">
        <v>68.400000000000006</v>
      </c>
      <c r="L474">
        <v>-193.1</v>
      </c>
      <c r="M474">
        <v>-27.29</v>
      </c>
      <c r="N474">
        <v>0.56999999999999995</v>
      </c>
      <c r="O474">
        <v>26.2</v>
      </c>
      <c r="P474">
        <v>0</v>
      </c>
      <c r="Q474">
        <v>75.489999999999995</v>
      </c>
      <c r="R474">
        <v>85.77</v>
      </c>
      <c r="S474">
        <v>62000</v>
      </c>
      <c r="T474">
        <v>5642000</v>
      </c>
    </row>
    <row r="475" spans="1:20" x14ac:dyDescent="0.25">
      <c r="A475" t="s">
        <v>44</v>
      </c>
      <c r="B475" t="s">
        <v>45</v>
      </c>
      <c r="C475" t="s">
        <v>37</v>
      </c>
      <c r="D475" t="s">
        <v>119</v>
      </c>
      <c r="E475" t="s">
        <v>120</v>
      </c>
      <c r="F475" t="s">
        <v>118</v>
      </c>
      <c r="G475" t="s">
        <v>26</v>
      </c>
      <c r="H475">
        <v>290</v>
      </c>
      <c r="I475">
        <v>569.51</v>
      </c>
      <c r="J475">
        <v>512.97</v>
      </c>
      <c r="K475">
        <v>90.07</v>
      </c>
      <c r="L475">
        <v>-209.12</v>
      </c>
      <c r="M475">
        <v>-36.72</v>
      </c>
      <c r="N475">
        <v>0.44</v>
      </c>
      <c r="O475">
        <v>51.4</v>
      </c>
      <c r="P475">
        <v>2.7</v>
      </c>
      <c r="Q475">
        <v>76.83</v>
      </c>
      <c r="R475">
        <v>90.92</v>
      </c>
      <c r="S475">
        <v>62000</v>
      </c>
      <c r="T475">
        <v>5642000</v>
      </c>
    </row>
    <row r="476" spans="1:20" x14ac:dyDescent="0.25">
      <c r="A476" t="s">
        <v>46</v>
      </c>
      <c r="B476" t="s">
        <v>47</v>
      </c>
      <c r="C476" t="s">
        <v>48</v>
      </c>
      <c r="D476" t="s">
        <v>119</v>
      </c>
      <c r="E476" t="s">
        <v>120</v>
      </c>
      <c r="F476" t="s">
        <v>118</v>
      </c>
      <c r="G476" t="s">
        <v>26</v>
      </c>
      <c r="H476">
        <v>290</v>
      </c>
      <c r="I476">
        <v>2672.05</v>
      </c>
      <c r="J476">
        <v>507.33</v>
      </c>
      <c r="K476">
        <v>18.989999999999998</v>
      </c>
      <c r="L476">
        <v>190.18</v>
      </c>
      <c r="M476">
        <v>7.12</v>
      </c>
      <c r="N476">
        <v>2.2200000000000002</v>
      </c>
      <c r="O476">
        <v>35</v>
      </c>
      <c r="P476">
        <v>0</v>
      </c>
      <c r="Q476">
        <v>78.97</v>
      </c>
      <c r="R476">
        <v>89.92</v>
      </c>
      <c r="S476">
        <v>62000</v>
      </c>
      <c r="T476">
        <v>5642000</v>
      </c>
    </row>
    <row r="477" spans="1:20" x14ac:dyDescent="0.25">
      <c r="A477" t="s">
        <v>49</v>
      </c>
      <c r="B477" t="s">
        <v>50</v>
      </c>
      <c r="C477" t="s">
        <v>48</v>
      </c>
      <c r="D477" t="s">
        <v>119</v>
      </c>
      <c r="E477" t="s">
        <v>120</v>
      </c>
      <c r="F477" t="s">
        <v>118</v>
      </c>
      <c r="G477" t="s">
        <v>26</v>
      </c>
      <c r="H477">
        <v>290</v>
      </c>
      <c r="I477">
        <v>2427.41</v>
      </c>
      <c r="J477">
        <v>588.17999999999995</v>
      </c>
      <c r="K477">
        <v>24.23</v>
      </c>
      <c r="L477">
        <v>-51.62</v>
      </c>
      <c r="M477">
        <v>-2.13</v>
      </c>
      <c r="N477">
        <v>1.79</v>
      </c>
      <c r="O477">
        <v>28.8</v>
      </c>
      <c r="P477">
        <v>26.82</v>
      </c>
      <c r="Q477">
        <v>86.82</v>
      </c>
      <c r="R477">
        <v>104.25</v>
      </c>
      <c r="S477">
        <v>62000</v>
      </c>
      <c r="T477">
        <v>5642000</v>
      </c>
    </row>
    <row r="478" spans="1:20" x14ac:dyDescent="0.25">
      <c r="A478" t="s">
        <v>51</v>
      </c>
      <c r="B478" t="s">
        <v>52</v>
      </c>
      <c r="C478" t="s">
        <v>48</v>
      </c>
      <c r="D478" t="s">
        <v>119</v>
      </c>
      <c r="E478" t="s">
        <v>120</v>
      </c>
      <c r="F478" t="s">
        <v>118</v>
      </c>
      <c r="G478" t="s">
        <v>26</v>
      </c>
      <c r="H478">
        <v>290</v>
      </c>
      <c r="I478">
        <v>2820.49</v>
      </c>
      <c r="J478">
        <v>459.48</v>
      </c>
      <c r="K478">
        <v>16.29</v>
      </c>
      <c r="L478">
        <v>137.38999999999999</v>
      </c>
      <c r="M478">
        <v>4.87</v>
      </c>
      <c r="N478">
        <v>2.0499999999999998</v>
      </c>
      <c r="O478">
        <v>32.200000000000003</v>
      </c>
      <c r="P478">
        <v>0</v>
      </c>
      <c r="Q478">
        <v>72.010000000000005</v>
      </c>
      <c r="R478">
        <v>81.44</v>
      </c>
      <c r="S478">
        <v>62000</v>
      </c>
      <c r="T478">
        <v>5642000</v>
      </c>
    </row>
    <row r="479" spans="1:20" x14ac:dyDescent="0.25">
      <c r="A479" t="s">
        <v>53</v>
      </c>
      <c r="B479" t="s">
        <v>54</v>
      </c>
      <c r="C479" t="s">
        <v>55</v>
      </c>
      <c r="D479" t="s">
        <v>119</v>
      </c>
      <c r="E479" t="s">
        <v>120</v>
      </c>
      <c r="F479" t="s">
        <v>118</v>
      </c>
      <c r="G479" t="s">
        <v>26</v>
      </c>
      <c r="H479">
        <v>290</v>
      </c>
      <c r="I479">
        <v>3536.82</v>
      </c>
      <c r="J479">
        <v>742.66</v>
      </c>
      <c r="K479">
        <v>21</v>
      </c>
      <c r="L479">
        <v>194.92</v>
      </c>
      <c r="M479">
        <v>5.51</v>
      </c>
      <c r="N479">
        <v>2.69</v>
      </c>
      <c r="O479">
        <v>30.9</v>
      </c>
      <c r="P479">
        <v>106.15</v>
      </c>
      <c r="Q479">
        <v>109.53</v>
      </c>
      <c r="R479">
        <v>131.63</v>
      </c>
      <c r="S479">
        <v>62000</v>
      </c>
      <c r="T479">
        <v>5642000</v>
      </c>
    </row>
    <row r="480" spans="1:20" x14ac:dyDescent="0.25">
      <c r="A480" t="s">
        <v>56</v>
      </c>
      <c r="B480" t="s">
        <v>57</v>
      </c>
      <c r="C480" t="s">
        <v>55</v>
      </c>
      <c r="D480" t="s">
        <v>119</v>
      </c>
      <c r="E480" t="s">
        <v>120</v>
      </c>
      <c r="F480" t="s">
        <v>118</v>
      </c>
      <c r="G480" t="s">
        <v>26</v>
      </c>
      <c r="H480">
        <v>290</v>
      </c>
      <c r="I480">
        <v>3561.79</v>
      </c>
      <c r="J480">
        <v>533.11</v>
      </c>
      <c r="K480">
        <v>14.97</v>
      </c>
      <c r="L480">
        <v>242.12</v>
      </c>
      <c r="M480">
        <v>6.8</v>
      </c>
      <c r="N480">
        <v>2.75</v>
      </c>
      <c r="O480">
        <v>61.4</v>
      </c>
      <c r="P480">
        <v>16.329999999999998</v>
      </c>
      <c r="Q480">
        <v>80.69</v>
      </c>
      <c r="R480">
        <v>94.49</v>
      </c>
      <c r="S480">
        <v>62000</v>
      </c>
      <c r="T480">
        <v>5642000</v>
      </c>
    </row>
    <row r="481" spans="1:20" x14ac:dyDescent="0.25">
      <c r="A481" t="s">
        <v>58</v>
      </c>
      <c r="B481" t="s">
        <v>59</v>
      </c>
      <c r="C481" t="s">
        <v>55</v>
      </c>
      <c r="D481" t="s">
        <v>119</v>
      </c>
      <c r="E481" t="s">
        <v>120</v>
      </c>
      <c r="F481" t="s">
        <v>118</v>
      </c>
      <c r="G481" t="s">
        <v>26</v>
      </c>
      <c r="H481">
        <v>290</v>
      </c>
      <c r="I481">
        <v>3435.58</v>
      </c>
      <c r="J481">
        <v>595.57000000000005</v>
      </c>
      <c r="K481">
        <v>17.34</v>
      </c>
      <c r="L481">
        <v>314.70999999999998</v>
      </c>
      <c r="M481">
        <v>9.16</v>
      </c>
      <c r="N481">
        <v>2.89</v>
      </c>
      <c r="O481">
        <v>30.2</v>
      </c>
      <c r="P481">
        <v>31.1</v>
      </c>
      <c r="Q481">
        <v>93.25</v>
      </c>
      <c r="R481">
        <v>105.56</v>
      </c>
      <c r="S481">
        <v>62000</v>
      </c>
      <c r="T481">
        <v>5642000</v>
      </c>
    </row>
    <row r="482" spans="1:20" x14ac:dyDescent="0.25">
      <c r="A482" t="s">
        <v>60</v>
      </c>
      <c r="B482" t="s">
        <v>61</v>
      </c>
      <c r="C482" t="s">
        <v>62</v>
      </c>
      <c r="D482" t="s">
        <v>119</v>
      </c>
      <c r="E482" t="s">
        <v>120</v>
      </c>
      <c r="F482" t="s">
        <v>118</v>
      </c>
      <c r="G482" t="s">
        <v>26</v>
      </c>
      <c r="H482">
        <v>290</v>
      </c>
      <c r="I482">
        <v>3601.55</v>
      </c>
      <c r="J482">
        <v>548.01</v>
      </c>
      <c r="K482">
        <v>15.22</v>
      </c>
      <c r="L482">
        <v>457.35</v>
      </c>
      <c r="M482">
        <v>12.7</v>
      </c>
      <c r="N482">
        <v>2.85</v>
      </c>
      <c r="O482">
        <v>44.2</v>
      </c>
      <c r="P482">
        <v>19.190000000000001</v>
      </c>
      <c r="Q482">
        <v>84.29</v>
      </c>
      <c r="R482">
        <v>97.13</v>
      </c>
      <c r="S482">
        <v>62000</v>
      </c>
      <c r="T482">
        <v>5642000</v>
      </c>
    </row>
    <row r="483" spans="1:20" x14ac:dyDescent="0.25">
      <c r="A483" t="s">
        <v>63</v>
      </c>
      <c r="B483" t="s">
        <v>64</v>
      </c>
      <c r="C483" t="s">
        <v>62</v>
      </c>
      <c r="D483" t="s">
        <v>119</v>
      </c>
      <c r="E483" t="s">
        <v>120</v>
      </c>
      <c r="F483" t="s">
        <v>118</v>
      </c>
      <c r="G483" t="s">
        <v>26</v>
      </c>
      <c r="H483">
        <v>290</v>
      </c>
      <c r="I483">
        <v>3745.99</v>
      </c>
      <c r="J483">
        <v>575.30999999999995</v>
      </c>
      <c r="K483">
        <v>15.36</v>
      </c>
      <c r="L483">
        <v>489.93</v>
      </c>
      <c r="M483">
        <v>13.08</v>
      </c>
      <c r="N483">
        <v>2.8</v>
      </c>
      <c r="O483">
        <v>63.4</v>
      </c>
      <c r="P483">
        <v>48.51</v>
      </c>
      <c r="Q483">
        <v>88.18</v>
      </c>
      <c r="R483">
        <v>101.97</v>
      </c>
      <c r="S483">
        <v>62000</v>
      </c>
      <c r="T483">
        <v>5642000</v>
      </c>
    </row>
    <row r="484" spans="1:20" x14ac:dyDescent="0.25">
      <c r="A484" t="s">
        <v>65</v>
      </c>
      <c r="B484" t="s">
        <v>66</v>
      </c>
      <c r="C484" t="s">
        <v>62</v>
      </c>
      <c r="D484" t="s">
        <v>119</v>
      </c>
      <c r="E484" t="s">
        <v>120</v>
      </c>
      <c r="F484" t="s">
        <v>118</v>
      </c>
      <c r="G484" t="s">
        <v>26</v>
      </c>
      <c r="H484">
        <v>290</v>
      </c>
      <c r="I484">
        <v>3818</v>
      </c>
      <c r="J484">
        <v>550.21</v>
      </c>
      <c r="K484">
        <v>14.41</v>
      </c>
      <c r="L484">
        <v>266.25</v>
      </c>
      <c r="M484">
        <v>6.97</v>
      </c>
      <c r="N484">
        <v>3.09</v>
      </c>
      <c r="O484">
        <v>3</v>
      </c>
      <c r="P484">
        <v>1.38</v>
      </c>
      <c r="Q484">
        <v>85.16</v>
      </c>
      <c r="R484">
        <v>97.52</v>
      </c>
      <c r="S484">
        <v>62000</v>
      </c>
      <c r="T484">
        <v>5642000</v>
      </c>
    </row>
    <row r="485" spans="1:20" x14ac:dyDescent="0.25">
      <c r="A485" t="s">
        <v>67</v>
      </c>
      <c r="B485" t="s">
        <v>68</v>
      </c>
      <c r="C485" t="s">
        <v>69</v>
      </c>
      <c r="D485" t="s">
        <v>119</v>
      </c>
      <c r="E485" t="s">
        <v>120</v>
      </c>
      <c r="F485" t="s">
        <v>118</v>
      </c>
      <c r="G485" t="s">
        <v>26</v>
      </c>
      <c r="H485">
        <v>290</v>
      </c>
      <c r="I485">
        <v>3449.95</v>
      </c>
      <c r="J485">
        <v>507.55</v>
      </c>
      <c r="K485">
        <v>14.71</v>
      </c>
      <c r="L485">
        <v>339.41</v>
      </c>
      <c r="M485">
        <v>9.84</v>
      </c>
      <c r="N485">
        <v>2.82</v>
      </c>
      <c r="O485">
        <v>34.700000000000003</v>
      </c>
      <c r="P485">
        <v>0</v>
      </c>
      <c r="Q485">
        <v>78.33</v>
      </c>
      <c r="R485">
        <v>89.96</v>
      </c>
      <c r="S485">
        <v>62000</v>
      </c>
      <c r="T485">
        <v>5642000</v>
      </c>
    </row>
    <row r="486" spans="1:20" x14ac:dyDescent="0.25">
      <c r="A486" t="s">
        <v>70</v>
      </c>
      <c r="B486" t="s">
        <v>71</v>
      </c>
      <c r="C486" t="s">
        <v>69</v>
      </c>
      <c r="D486" t="s">
        <v>119</v>
      </c>
      <c r="E486" t="s">
        <v>120</v>
      </c>
      <c r="F486" t="s">
        <v>118</v>
      </c>
      <c r="G486" t="s">
        <v>26</v>
      </c>
      <c r="H486">
        <v>290</v>
      </c>
      <c r="I486">
        <v>3697.73</v>
      </c>
      <c r="J486">
        <v>558.66999999999996</v>
      </c>
      <c r="K486">
        <v>15.11</v>
      </c>
      <c r="L486">
        <v>441.1</v>
      </c>
      <c r="M486">
        <v>11.93</v>
      </c>
      <c r="N486">
        <v>2.74</v>
      </c>
      <c r="O486">
        <v>42.9</v>
      </c>
      <c r="P486">
        <v>24.02</v>
      </c>
      <c r="Q486">
        <v>84.61</v>
      </c>
      <c r="R486">
        <v>99.02</v>
      </c>
      <c r="S486">
        <v>62000</v>
      </c>
      <c r="T486">
        <v>5642000</v>
      </c>
    </row>
    <row r="487" spans="1:20" x14ac:dyDescent="0.25">
      <c r="A487" t="s">
        <v>72</v>
      </c>
      <c r="B487" t="s">
        <v>73</v>
      </c>
      <c r="C487" t="s">
        <v>69</v>
      </c>
      <c r="D487" t="s">
        <v>119</v>
      </c>
      <c r="E487" t="s">
        <v>120</v>
      </c>
      <c r="F487" t="s">
        <v>118</v>
      </c>
      <c r="G487" t="s">
        <v>26</v>
      </c>
      <c r="H487">
        <v>290</v>
      </c>
      <c r="I487">
        <v>3632.14</v>
      </c>
      <c r="J487">
        <v>574.24</v>
      </c>
      <c r="K487">
        <v>15.81</v>
      </c>
      <c r="L487">
        <v>187.99</v>
      </c>
      <c r="M487">
        <v>5.18</v>
      </c>
      <c r="N487">
        <v>2.72</v>
      </c>
      <c r="O487">
        <v>27.3</v>
      </c>
      <c r="P487">
        <v>20.52</v>
      </c>
      <c r="Q487">
        <v>84.06</v>
      </c>
      <c r="R487">
        <v>101.78</v>
      </c>
      <c r="S487">
        <v>62000</v>
      </c>
      <c r="T487">
        <v>5642000</v>
      </c>
    </row>
    <row r="488" spans="1:20" x14ac:dyDescent="0.25">
      <c r="A488" t="s">
        <v>74</v>
      </c>
      <c r="B488" t="s">
        <v>75</v>
      </c>
      <c r="C488" t="s">
        <v>69</v>
      </c>
      <c r="D488" t="s">
        <v>119</v>
      </c>
      <c r="E488" t="s">
        <v>120</v>
      </c>
      <c r="F488" t="s">
        <v>118</v>
      </c>
      <c r="G488" t="s">
        <v>26</v>
      </c>
      <c r="H488">
        <v>290</v>
      </c>
      <c r="I488">
        <v>3771.12</v>
      </c>
      <c r="J488">
        <v>530.24</v>
      </c>
      <c r="K488">
        <v>14.06</v>
      </c>
      <c r="L488">
        <v>232.69</v>
      </c>
      <c r="M488">
        <v>6.17</v>
      </c>
      <c r="N488">
        <v>2.8</v>
      </c>
      <c r="O488">
        <v>46.9</v>
      </c>
      <c r="P488">
        <v>11</v>
      </c>
      <c r="Q488">
        <v>80.400000000000006</v>
      </c>
      <c r="R488">
        <v>93.98</v>
      </c>
      <c r="S488">
        <v>62000</v>
      </c>
      <c r="T488">
        <v>5642000</v>
      </c>
    </row>
    <row r="489" spans="1:20" x14ac:dyDescent="0.25">
      <c r="A489" t="s">
        <v>76</v>
      </c>
      <c r="B489" t="s">
        <v>77</v>
      </c>
      <c r="C489" t="s">
        <v>69</v>
      </c>
      <c r="D489" t="s">
        <v>119</v>
      </c>
      <c r="E489" t="s">
        <v>120</v>
      </c>
      <c r="F489" t="s">
        <v>118</v>
      </c>
      <c r="G489" t="s">
        <v>26</v>
      </c>
      <c r="H489">
        <v>290</v>
      </c>
      <c r="I489">
        <v>3822.83</v>
      </c>
      <c r="J489">
        <v>634.84</v>
      </c>
      <c r="K489">
        <v>16.61</v>
      </c>
      <c r="L489">
        <v>323.92</v>
      </c>
      <c r="M489">
        <v>8.4700000000000006</v>
      </c>
      <c r="N489">
        <v>2.94</v>
      </c>
      <c r="O489">
        <v>16.5</v>
      </c>
      <c r="P489">
        <v>26.21</v>
      </c>
      <c r="Q489">
        <v>94.78</v>
      </c>
      <c r="R489">
        <v>112.52</v>
      </c>
      <c r="S489">
        <v>62000</v>
      </c>
      <c r="T489">
        <v>5642000</v>
      </c>
    </row>
    <row r="490" spans="1:20" x14ac:dyDescent="0.25">
      <c r="A490" t="s">
        <v>78</v>
      </c>
      <c r="B490" t="s">
        <v>79</v>
      </c>
      <c r="C490" t="s">
        <v>80</v>
      </c>
      <c r="D490" t="s">
        <v>119</v>
      </c>
      <c r="E490" t="s">
        <v>120</v>
      </c>
      <c r="F490" t="s">
        <v>118</v>
      </c>
      <c r="G490" t="s">
        <v>26</v>
      </c>
      <c r="H490">
        <v>290</v>
      </c>
      <c r="I490">
        <v>3395.46</v>
      </c>
      <c r="J490">
        <v>572.89</v>
      </c>
      <c r="K490">
        <v>16.87</v>
      </c>
      <c r="L490">
        <v>196.4</v>
      </c>
      <c r="M490">
        <v>5.78</v>
      </c>
      <c r="N490">
        <v>2.4700000000000002</v>
      </c>
      <c r="O490">
        <v>32.1</v>
      </c>
      <c r="P490">
        <v>23.58</v>
      </c>
      <c r="Q490">
        <v>85.13</v>
      </c>
      <c r="R490">
        <v>101.54</v>
      </c>
      <c r="S490">
        <v>62000</v>
      </c>
      <c r="T490">
        <v>5642000</v>
      </c>
    </row>
    <row r="491" spans="1:20" x14ac:dyDescent="0.25">
      <c r="A491" t="s">
        <v>81</v>
      </c>
      <c r="B491" t="s">
        <v>82</v>
      </c>
      <c r="C491" t="s">
        <v>80</v>
      </c>
      <c r="D491" t="s">
        <v>119</v>
      </c>
      <c r="E491" t="s">
        <v>120</v>
      </c>
      <c r="F491" t="s">
        <v>118</v>
      </c>
      <c r="G491" t="s">
        <v>26</v>
      </c>
      <c r="H491">
        <v>290</v>
      </c>
      <c r="I491">
        <v>3823.94</v>
      </c>
      <c r="J491">
        <v>679.47</v>
      </c>
      <c r="K491">
        <v>17.77</v>
      </c>
      <c r="L491">
        <v>454.06</v>
      </c>
      <c r="M491">
        <v>11.87</v>
      </c>
      <c r="N491">
        <v>3.09</v>
      </c>
      <c r="O491">
        <v>31.6</v>
      </c>
      <c r="P491">
        <v>72.599999999999994</v>
      </c>
      <c r="Q491">
        <v>101.77</v>
      </c>
      <c r="R491">
        <v>120.43</v>
      </c>
      <c r="S491">
        <v>62000</v>
      </c>
      <c r="T491">
        <v>5642000</v>
      </c>
    </row>
    <row r="492" spans="1:20" x14ac:dyDescent="0.25">
      <c r="A492" t="s">
        <v>83</v>
      </c>
      <c r="B492" t="s">
        <v>84</v>
      </c>
      <c r="C492" t="s">
        <v>80</v>
      </c>
      <c r="D492" t="s">
        <v>119</v>
      </c>
      <c r="E492" t="s">
        <v>120</v>
      </c>
      <c r="F492" t="s">
        <v>118</v>
      </c>
      <c r="G492" t="s">
        <v>26</v>
      </c>
      <c r="H492">
        <v>290</v>
      </c>
      <c r="I492">
        <v>3657.33</v>
      </c>
      <c r="J492">
        <v>633.15</v>
      </c>
      <c r="K492">
        <v>17.309999999999999</v>
      </c>
      <c r="L492">
        <v>283.82</v>
      </c>
      <c r="M492">
        <v>7.76</v>
      </c>
      <c r="N492">
        <v>2.71</v>
      </c>
      <c r="O492">
        <v>38.299999999999997</v>
      </c>
      <c r="P492">
        <v>59.87</v>
      </c>
      <c r="Q492">
        <v>93.24</v>
      </c>
      <c r="R492">
        <v>112.22</v>
      </c>
      <c r="S492">
        <v>62000</v>
      </c>
      <c r="T492">
        <v>5642000</v>
      </c>
    </row>
    <row r="493" spans="1:20" x14ac:dyDescent="0.25">
      <c r="A493" t="s">
        <v>85</v>
      </c>
      <c r="B493" t="s">
        <v>86</v>
      </c>
      <c r="C493" t="s">
        <v>80</v>
      </c>
      <c r="D493" t="s">
        <v>119</v>
      </c>
      <c r="E493" t="s">
        <v>120</v>
      </c>
      <c r="F493" t="s">
        <v>118</v>
      </c>
      <c r="G493" t="s">
        <v>26</v>
      </c>
      <c r="H493">
        <v>290</v>
      </c>
      <c r="I493">
        <v>3616.22</v>
      </c>
      <c r="J493">
        <v>630.04</v>
      </c>
      <c r="K493">
        <v>17.420000000000002</v>
      </c>
      <c r="L493">
        <v>486.21</v>
      </c>
      <c r="M493">
        <v>13.45</v>
      </c>
      <c r="N493">
        <v>2.95</v>
      </c>
      <c r="O493">
        <v>50.3</v>
      </c>
      <c r="P493">
        <v>76.31</v>
      </c>
      <c r="Q493">
        <v>99.34</v>
      </c>
      <c r="R493">
        <v>111.67</v>
      </c>
      <c r="S493">
        <v>62000</v>
      </c>
      <c r="T493">
        <v>5642000</v>
      </c>
    </row>
    <row r="494" spans="1:20" x14ac:dyDescent="0.25">
      <c r="A494" t="s">
        <v>87</v>
      </c>
      <c r="B494" t="s">
        <v>88</v>
      </c>
      <c r="C494" t="s">
        <v>89</v>
      </c>
      <c r="D494" t="s">
        <v>119</v>
      </c>
      <c r="E494" t="s">
        <v>120</v>
      </c>
      <c r="F494" t="s">
        <v>118</v>
      </c>
      <c r="G494" t="s">
        <v>26</v>
      </c>
      <c r="H494">
        <v>290</v>
      </c>
      <c r="I494">
        <v>2550.8200000000002</v>
      </c>
      <c r="J494">
        <v>828.25</v>
      </c>
      <c r="K494">
        <v>32.47</v>
      </c>
      <c r="L494">
        <v>-249.5</v>
      </c>
      <c r="M494">
        <v>-9.7799999999999994</v>
      </c>
      <c r="N494">
        <v>2.2200000000000002</v>
      </c>
      <c r="O494">
        <v>42.7</v>
      </c>
      <c r="P494">
        <v>223.2</v>
      </c>
      <c r="Q494">
        <v>130.88</v>
      </c>
      <c r="R494">
        <v>146.80000000000001</v>
      </c>
      <c r="S494">
        <v>62000</v>
      </c>
      <c r="T494">
        <v>5642000</v>
      </c>
    </row>
    <row r="495" spans="1:20" x14ac:dyDescent="0.25">
      <c r="A495" t="s">
        <v>20</v>
      </c>
      <c r="B495" t="s">
        <v>21</v>
      </c>
      <c r="C495" t="s">
        <v>22</v>
      </c>
      <c r="D495" t="s">
        <v>121</v>
      </c>
      <c r="E495" t="s">
        <v>122</v>
      </c>
      <c r="F495" t="s">
        <v>118</v>
      </c>
      <c r="G495" t="s">
        <v>26</v>
      </c>
      <c r="H495">
        <v>550</v>
      </c>
      <c r="I495">
        <v>7848.53</v>
      </c>
      <c r="J495">
        <v>542.94000000000005</v>
      </c>
      <c r="K495">
        <v>6.92</v>
      </c>
      <c r="L495">
        <v>1082.72</v>
      </c>
      <c r="M495">
        <v>13.8</v>
      </c>
      <c r="N495">
        <v>5.46</v>
      </c>
      <c r="O495">
        <v>53.6</v>
      </c>
      <c r="P495">
        <v>0</v>
      </c>
      <c r="Q495">
        <v>63</v>
      </c>
      <c r="R495">
        <v>74.58</v>
      </c>
      <c r="S495">
        <v>80000</v>
      </c>
      <c r="T495">
        <v>7280000</v>
      </c>
    </row>
    <row r="496" spans="1:20" x14ac:dyDescent="0.25">
      <c r="A496" t="s">
        <v>27</v>
      </c>
      <c r="B496" t="s">
        <v>28</v>
      </c>
      <c r="C496" t="s">
        <v>22</v>
      </c>
      <c r="D496" t="s">
        <v>121</v>
      </c>
      <c r="E496" t="s">
        <v>122</v>
      </c>
      <c r="F496" t="s">
        <v>118</v>
      </c>
      <c r="G496" t="s">
        <v>26</v>
      </c>
      <c r="H496">
        <v>550</v>
      </c>
      <c r="I496">
        <v>7514.7</v>
      </c>
      <c r="J496">
        <v>533.91999999999996</v>
      </c>
      <c r="K496">
        <v>7.1</v>
      </c>
      <c r="L496">
        <v>620.65</v>
      </c>
      <c r="M496">
        <v>8.26</v>
      </c>
      <c r="N496">
        <v>5.51</v>
      </c>
      <c r="O496">
        <v>16.7</v>
      </c>
      <c r="P496">
        <v>0</v>
      </c>
      <c r="Q496">
        <v>64.790000000000006</v>
      </c>
      <c r="R496">
        <v>73.34</v>
      </c>
      <c r="S496">
        <v>80000</v>
      </c>
      <c r="T496">
        <v>7280000</v>
      </c>
    </row>
    <row r="497" spans="1:20" x14ac:dyDescent="0.25">
      <c r="A497" t="s">
        <v>29</v>
      </c>
      <c r="B497" t="s">
        <v>30</v>
      </c>
      <c r="C497" t="s">
        <v>22</v>
      </c>
      <c r="D497" t="s">
        <v>121</v>
      </c>
      <c r="E497" t="s">
        <v>122</v>
      </c>
      <c r="F497" t="s">
        <v>118</v>
      </c>
      <c r="G497" t="s">
        <v>26</v>
      </c>
      <c r="H497">
        <v>550</v>
      </c>
      <c r="I497">
        <v>8092.96</v>
      </c>
      <c r="J497">
        <v>517.67999999999995</v>
      </c>
      <c r="K497">
        <v>6.4</v>
      </c>
      <c r="L497">
        <v>590.16</v>
      </c>
      <c r="M497">
        <v>7.29</v>
      </c>
      <c r="N497">
        <v>5.32</v>
      </c>
      <c r="O497">
        <v>21</v>
      </c>
      <c r="P497">
        <v>0</v>
      </c>
      <c r="Q497">
        <v>60.46</v>
      </c>
      <c r="R497">
        <v>71.11</v>
      </c>
      <c r="S497">
        <v>80000</v>
      </c>
      <c r="T497">
        <v>7280000</v>
      </c>
    </row>
    <row r="498" spans="1:20" x14ac:dyDescent="0.25">
      <c r="A498" t="s">
        <v>31</v>
      </c>
      <c r="B498" t="s">
        <v>32</v>
      </c>
      <c r="C498" t="s">
        <v>22</v>
      </c>
      <c r="D498" t="s">
        <v>121</v>
      </c>
      <c r="E498" t="s">
        <v>122</v>
      </c>
      <c r="F498" t="s">
        <v>118</v>
      </c>
      <c r="G498" t="s">
        <v>26</v>
      </c>
      <c r="H498">
        <v>550</v>
      </c>
      <c r="I498">
        <v>7959.57</v>
      </c>
      <c r="J498">
        <v>560.34</v>
      </c>
      <c r="K498">
        <v>7.04</v>
      </c>
      <c r="L498">
        <v>568.26</v>
      </c>
      <c r="M498">
        <v>7.14</v>
      </c>
      <c r="N498">
        <v>5.79</v>
      </c>
      <c r="O498">
        <v>60.8</v>
      </c>
      <c r="P498">
        <v>0</v>
      </c>
      <c r="Q498">
        <v>65.66</v>
      </c>
      <c r="R498">
        <v>76.97</v>
      </c>
      <c r="S498">
        <v>80000</v>
      </c>
      <c r="T498">
        <v>7280000</v>
      </c>
    </row>
    <row r="499" spans="1:20" x14ac:dyDescent="0.25">
      <c r="A499" t="s">
        <v>33</v>
      </c>
      <c r="B499" t="s">
        <v>34</v>
      </c>
      <c r="C499" t="s">
        <v>22</v>
      </c>
      <c r="D499" t="s">
        <v>121</v>
      </c>
      <c r="E499" t="s">
        <v>122</v>
      </c>
      <c r="F499" t="s">
        <v>118</v>
      </c>
      <c r="G499" t="s">
        <v>26</v>
      </c>
      <c r="H499">
        <v>550</v>
      </c>
      <c r="I499">
        <v>7378.47</v>
      </c>
      <c r="J499">
        <v>548.77</v>
      </c>
      <c r="K499">
        <v>7.44</v>
      </c>
      <c r="L499">
        <v>392.07</v>
      </c>
      <c r="M499">
        <v>5.31</v>
      </c>
      <c r="N499">
        <v>4.83</v>
      </c>
      <c r="O499">
        <v>28.6</v>
      </c>
      <c r="P499">
        <v>0</v>
      </c>
      <c r="Q499">
        <v>66.66</v>
      </c>
      <c r="R499">
        <v>75.38</v>
      </c>
      <c r="S499">
        <v>80000</v>
      </c>
      <c r="T499">
        <v>7280000</v>
      </c>
    </row>
    <row r="500" spans="1:20" x14ac:dyDescent="0.25">
      <c r="A500" t="s">
        <v>35</v>
      </c>
      <c r="B500" t="s">
        <v>36</v>
      </c>
      <c r="C500" t="s">
        <v>37</v>
      </c>
      <c r="D500" t="s">
        <v>121</v>
      </c>
      <c r="E500" t="s">
        <v>122</v>
      </c>
      <c r="F500" t="s">
        <v>118</v>
      </c>
      <c r="G500" t="s">
        <v>26</v>
      </c>
      <c r="H500">
        <v>550</v>
      </c>
      <c r="I500">
        <v>1281.43</v>
      </c>
      <c r="J500">
        <v>172.46</v>
      </c>
      <c r="K500">
        <v>13.46</v>
      </c>
      <c r="L500">
        <v>-431.26</v>
      </c>
      <c r="M500">
        <v>-33.65</v>
      </c>
      <c r="N500">
        <v>0.98</v>
      </c>
      <c r="O500">
        <v>50.5</v>
      </c>
      <c r="P500">
        <v>0</v>
      </c>
      <c r="Q500">
        <v>20.57</v>
      </c>
      <c r="R500">
        <v>23.69</v>
      </c>
      <c r="S500">
        <v>80000</v>
      </c>
      <c r="T500">
        <v>7280000</v>
      </c>
    </row>
    <row r="501" spans="1:20" x14ac:dyDescent="0.25">
      <c r="A501" t="s">
        <v>38</v>
      </c>
      <c r="B501" t="s">
        <v>39</v>
      </c>
      <c r="C501" t="s">
        <v>37</v>
      </c>
      <c r="D501" t="s">
        <v>121</v>
      </c>
      <c r="E501" t="s">
        <v>122</v>
      </c>
      <c r="F501" t="s">
        <v>118</v>
      </c>
      <c r="G501" t="s">
        <v>26</v>
      </c>
      <c r="H501">
        <v>550</v>
      </c>
      <c r="I501">
        <v>1997.55</v>
      </c>
      <c r="J501">
        <v>367.13</v>
      </c>
      <c r="K501">
        <v>18.38</v>
      </c>
      <c r="L501">
        <v>-474.21</v>
      </c>
      <c r="M501">
        <v>-23.74</v>
      </c>
      <c r="N501">
        <v>1.31</v>
      </c>
      <c r="O501">
        <v>39.6</v>
      </c>
      <c r="P501">
        <v>0</v>
      </c>
      <c r="Q501">
        <v>44.05</v>
      </c>
      <c r="R501">
        <v>50.43</v>
      </c>
      <c r="S501">
        <v>80000</v>
      </c>
      <c r="T501">
        <v>7280000</v>
      </c>
    </row>
    <row r="502" spans="1:20" x14ac:dyDescent="0.25">
      <c r="A502" t="s">
        <v>40</v>
      </c>
      <c r="B502" t="s">
        <v>41</v>
      </c>
      <c r="C502" t="s">
        <v>37</v>
      </c>
      <c r="D502" t="s">
        <v>121</v>
      </c>
      <c r="E502" t="s">
        <v>122</v>
      </c>
      <c r="F502" t="s">
        <v>118</v>
      </c>
      <c r="G502" t="s">
        <v>26</v>
      </c>
      <c r="H502">
        <v>550</v>
      </c>
      <c r="I502">
        <v>1298.46</v>
      </c>
      <c r="J502">
        <v>332.4</v>
      </c>
      <c r="K502">
        <v>25.6</v>
      </c>
      <c r="L502">
        <v>-427.8</v>
      </c>
      <c r="M502">
        <v>-32.950000000000003</v>
      </c>
      <c r="N502">
        <v>0.92</v>
      </c>
      <c r="O502">
        <v>17.2</v>
      </c>
      <c r="P502">
        <v>0</v>
      </c>
      <c r="Q502">
        <v>39.950000000000003</v>
      </c>
      <c r="R502">
        <v>45.66</v>
      </c>
      <c r="S502">
        <v>80000</v>
      </c>
      <c r="T502">
        <v>7280000</v>
      </c>
    </row>
    <row r="503" spans="1:20" x14ac:dyDescent="0.25">
      <c r="A503" t="s">
        <v>42</v>
      </c>
      <c r="B503" t="s">
        <v>43</v>
      </c>
      <c r="C503" t="s">
        <v>37</v>
      </c>
      <c r="D503" t="s">
        <v>121</v>
      </c>
      <c r="E503" t="s">
        <v>122</v>
      </c>
      <c r="F503" t="s">
        <v>118</v>
      </c>
      <c r="G503" t="s">
        <v>26</v>
      </c>
      <c r="H503">
        <v>550</v>
      </c>
      <c r="I503">
        <v>2369.7800000000002</v>
      </c>
      <c r="J503">
        <v>624.41</v>
      </c>
      <c r="K503">
        <v>26.35</v>
      </c>
      <c r="L503">
        <v>-931.19</v>
      </c>
      <c r="M503">
        <v>-39.29</v>
      </c>
      <c r="N503">
        <v>1.7</v>
      </c>
      <c r="O503">
        <v>31.3</v>
      </c>
      <c r="P503">
        <v>0</v>
      </c>
      <c r="Q503">
        <v>75.489999999999995</v>
      </c>
      <c r="R503">
        <v>85.77</v>
      </c>
      <c r="S503">
        <v>80000</v>
      </c>
      <c r="T503">
        <v>7280000</v>
      </c>
    </row>
    <row r="504" spans="1:20" x14ac:dyDescent="0.25">
      <c r="A504" t="s">
        <v>44</v>
      </c>
      <c r="B504" t="s">
        <v>45</v>
      </c>
      <c r="C504" t="s">
        <v>37</v>
      </c>
      <c r="D504" t="s">
        <v>121</v>
      </c>
      <c r="E504" t="s">
        <v>122</v>
      </c>
      <c r="F504" t="s">
        <v>118</v>
      </c>
      <c r="G504" t="s">
        <v>26</v>
      </c>
      <c r="H504">
        <v>550</v>
      </c>
      <c r="I504">
        <v>1772.48</v>
      </c>
      <c r="J504">
        <v>661.9</v>
      </c>
      <c r="K504">
        <v>37.340000000000003</v>
      </c>
      <c r="L504">
        <v>-782.75</v>
      </c>
      <c r="M504">
        <v>-44.16</v>
      </c>
      <c r="N504">
        <v>1.31</v>
      </c>
      <c r="O504">
        <v>0.8</v>
      </c>
      <c r="P504">
        <v>0.05</v>
      </c>
      <c r="Q504">
        <v>76.83</v>
      </c>
      <c r="R504">
        <v>90.92</v>
      </c>
      <c r="S504">
        <v>80000</v>
      </c>
      <c r="T504">
        <v>7280000</v>
      </c>
    </row>
    <row r="505" spans="1:20" x14ac:dyDescent="0.25">
      <c r="A505" t="s">
        <v>46</v>
      </c>
      <c r="B505" t="s">
        <v>47</v>
      </c>
      <c r="C505" t="s">
        <v>48</v>
      </c>
      <c r="D505" t="s">
        <v>121</v>
      </c>
      <c r="E505" t="s">
        <v>122</v>
      </c>
      <c r="F505" t="s">
        <v>118</v>
      </c>
      <c r="G505" t="s">
        <v>26</v>
      </c>
      <c r="H505">
        <v>550</v>
      </c>
      <c r="I505">
        <v>6105.82</v>
      </c>
      <c r="J505">
        <v>654.62</v>
      </c>
      <c r="K505">
        <v>10.72</v>
      </c>
      <c r="L505">
        <v>-93.84</v>
      </c>
      <c r="M505">
        <v>-1.54</v>
      </c>
      <c r="N505">
        <v>4.01</v>
      </c>
      <c r="O505">
        <v>27.1</v>
      </c>
      <c r="P505">
        <v>0</v>
      </c>
      <c r="Q505">
        <v>78.97</v>
      </c>
      <c r="R505">
        <v>89.92</v>
      </c>
      <c r="S505">
        <v>80000</v>
      </c>
      <c r="T505">
        <v>7280000</v>
      </c>
    </row>
    <row r="506" spans="1:20" x14ac:dyDescent="0.25">
      <c r="A506" t="s">
        <v>49</v>
      </c>
      <c r="B506" t="s">
        <v>50</v>
      </c>
      <c r="C506" t="s">
        <v>48</v>
      </c>
      <c r="D506" t="s">
        <v>121</v>
      </c>
      <c r="E506" t="s">
        <v>122</v>
      </c>
      <c r="F506" t="s">
        <v>118</v>
      </c>
      <c r="G506" t="s">
        <v>26</v>
      </c>
      <c r="H506">
        <v>550</v>
      </c>
      <c r="I506">
        <v>5714.04</v>
      </c>
      <c r="J506">
        <v>758.94</v>
      </c>
      <c r="K506">
        <v>13.28</v>
      </c>
      <c r="L506">
        <v>-55.16</v>
      </c>
      <c r="M506">
        <v>-0.97</v>
      </c>
      <c r="N506">
        <v>3.76</v>
      </c>
      <c r="O506">
        <v>1.2</v>
      </c>
      <c r="P506">
        <v>1.44</v>
      </c>
      <c r="Q506">
        <v>86.82</v>
      </c>
      <c r="R506">
        <v>104.25</v>
      </c>
      <c r="S506">
        <v>80000</v>
      </c>
      <c r="T506">
        <v>7280000</v>
      </c>
    </row>
    <row r="507" spans="1:20" x14ac:dyDescent="0.25">
      <c r="A507" t="s">
        <v>51</v>
      </c>
      <c r="B507" t="s">
        <v>52</v>
      </c>
      <c r="C507" t="s">
        <v>48</v>
      </c>
      <c r="D507" t="s">
        <v>121</v>
      </c>
      <c r="E507" t="s">
        <v>122</v>
      </c>
      <c r="F507" t="s">
        <v>118</v>
      </c>
      <c r="G507" t="s">
        <v>26</v>
      </c>
      <c r="H507">
        <v>550</v>
      </c>
      <c r="I507">
        <v>5930.72</v>
      </c>
      <c r="J507">
        <v>592.88</v>
      </c>
      <c r="K507">
        <v>10</v>
      </c>
      <c r="L507">
        <v>386.9</v>
      </c>
      <c r="M507">
        <v>6.52</v>
      </c>
      <c r="N507">
        <v>3.88</v>
      </c>
      <c r="O507">
        <v>15</v>
      </c>
      <c r="P507">
        <v>0</v>
      </c>
      <c r="Q507">
        <v>72.010000000000005</v>
      </c>
      <c r="R507">
        <v>81.44</v>
      </c>
      <c r="S507">
        <v>80000</v>
      </c>
      <c r="T507">
        <v>7280000</v>
      </c>
    </row>
    <row r="508" spans="1:20" x14ac:dyDescent="0.25">
      <c r="A508" t="s">
        <v>53</v>
      </c>
      <c r="B508" t="s">
        <v>54</v>
      </c>
      <c r="C508" t="s">
        <v>55</v>
      </c>
      <c r="D508" t="s">
        <v>121</v>
      </c>
      <c r="E508" t="s">
        <v>122</v>
      </c>
      <c r="F508" t="s">
        <v>118</v>
      </c>
      <c r="G508" t="s">
        <v>26</v>
      </c>
      <c r="H508">
        <v>550</v>
      </c>
      <c r="I508">
        <v>6780.34</v>
      </c>
      <c r="J508">
        <v>958.27</v>
      </c>
      <c r="K508">
        <v>14.13</v>
      </c>
      <c r="L508">
        <v>615.69000000000005</v>
      </c>
      <c r="M508">
        <v>9.08</v>
      </c>
      <c r="N508">
        <v>4.7699999999999996</v>
      </c>
      <c r="O508">
        <v>60.1</v>
      </c>
      <c r="P508">
        <v>266.39</v>
      </c>
      <c r="Q508">
        <v>109.53</v>
      </c>
      <c r="R508">
        <v>131.63</v>
      </c>
      <c r="S508">
        <v>80000</v>
      </c>
      <c r="T508">
        <v>7280000</v>
      </c>
    </row>
    <row r="509" spans="1:20" x14ac:dyDescent="0.25">
      <c r="A509" t="s">
        <v>56</v>
      </c>
      <c r="B509" t="s">
        <v>57</v>
      </c>
      <c r="C509" t="s">
        <v>55</v>
      </c>
      <c r="D509" t="s">
        <v>121</v>
      </c>
      <c r="E509" t="s">
        <v>122</v>
      </c>
      <c r="F509" t="s">
        <v>118</v>
      </c>
      <c r="G509" t="s">
        <v>26</v>
      </c>
      <c r="H509">
        <v>550</v>
      </c>
      <c r="I509">
        <v>7452.15</v>
      </c>
      <c r="J509">
        <v>687.89</v>
      </c>
      <c r="K509">
        <v>9.23</v>
      </c>
      <c r="L509">
        <v>663.05</v>
      </c>
      <c r="M509">
        <v>8.9</v>
      </c>
      <c r="N509">
        <v>5.78</v>
      </c>
      <c r="O509">
        <v>21.8</v>
      </c>
      <c r="P509">
        <v>7.48</v>
      </c>
      <c r="Q509">
        <v>80.69</v>
      </c>
      <c r="R509">
        <v>94.49</v>
      </c>
      <c r="S509">
        <v>80000</v>
      </c>
      <c r="T509">
        <v>7280000</v>
      </c>
    </row>
    <row r="510" spans="1:20" x14ac:dyDescent="0.25">
      <c r="A510" t="s">
        <v>58</v>
      </c>
      <c r="B510" t="s">
        <v>59</v>
      </c>
      <c r="C510" t="s">
        <v>55</v>
      </c>
      <c r="D510" t="s">
        <v>121</v>
      </c>
      <c r="E510" t="s">
        <v>122</v>
      </c>
      <c r="F510" t="s">
        <v>118</v>
      </c>
      <c r="G510" t="s">
        <v>26</v>
      </c>
      <c r="H510">
        <v>550</v>
      </c>
      <c r="I510">
        <v>7711.07</v>
      </c>
      <c r="J510">
        <v>768.48</v>
      </c>
      <c r="K510">
        <v>9.9700000000000006</v>
      </c>
      <c r="L510">
        <v>565.33000000000004</v>
      </c>
      <c r="M510">
        <v>7.33</v>
      </c>
      <c r="N510">
        <v>4.96</v>
      </c>
      <c r="O510">
        <v>28.5</v>
      </c>
      <c r="P510">
        <v>37.869999999999997</v>
      </c>
      <c r="Q510">
        <v>93.25</v>
      </c>
      <c r="R510">
        <v>105.56</v>
      </c>
      <c r="S510">
        <v>80000</v>
      </c>
      <c r="T510">
        <v>7280000</v>
      </c>
    </row>
    <row r="511" spans="1:20" x14ac:dyDescent="0.25">
      <c r="A511" t="s">
        <v>60</v>
      </c>
      <c r="B511" t="s">
        <v>61</v>
      </c>
      <c r="C511" t="s">
        <v>62</v>
      </c>
      <c r="D511" t="s">
        <v>121</v>
      </c>
      <c r="E511" t="s">
        <v>122</v>
      </c>
      <c r="F511" t="s">
        <v>118</v>
      </c>
      <c r="G511" t="s">
        <v>26</v>
      </c>
      <c r="H511">
        <v>550</v>
      </c>
      <c r="I511">
        <v>7958.94</v>
      </c>
      <c r="J511">
        <v>707.11</v>
      </c>
      <c r="K511">
        <v>8.8800000000000008</v>
      </c>
      <c r="L511">
        <v>1071.5</v>
      </c>
      <c r="M511">
        <v>13.46</v>
      </c>
      <c r="N511">
        <v>6.11</v>
      </c>
      <c r="O511">
        <v>63.2</v>
      </c>
      <c r="P511">
        <v>35.4</v>
      </c>
      <c r="Q511">
        <v>84.29</v>
      </c>
      <c r="R511">
        <v>97.13</v>
      </c>
      <c r="S511">
        <v>80000</v>
      </c>
      <c r="T511">
        <v>7280000</v>
      </c>
    </row>
    <row r="512" spans="1:20" x14ac:dyDescent="0.25">
      <c r="A512" t="s">
        <v>63</v>
      </c>
      <c r="B512" t="s">
        <v>64</v>
      </c>
      <c r="C512" t="s">
        <v>62</v>
      </c>
      <c r="D512" t="s">
        <v>121</v>
      </c>
      <c r="E512" t="s">
        <v>122</v>
      </c>
      <c r="F512" t="s">
        <v>118</v>
      </c>
      <c r="G512" t="s">
        <v>26</v>
      </c>
      <c r="H512">
        <v>550</v>
      </c>
      <c r="I512">
        <v>7761.72</v>
      </c>
      <c r="J512">
        <v>742.34</v>
      </c>
      <c r="K512">
        <v>9.56</v>
      </c>
      <c r="L512">
        <v>491.16</v>
      </c>
      <c r="M512">
        <v>6.33</v>
      </c>
      <c r="N512">
        <v>5.6</v>
      </c>
      <c r="O512">
        <v>27.4</v>
      </c>
      <c r="P512">
        <v>27.05</v>
      </c>
      <c r="Q512">
        <v>88.18</v>
      </c>
      <c r="R512">
        <v>101.97</v>
      </c>
      <c r="S512">
        <v>80000</v>
      </c>
      <c r="T512">
        <v>7280000</v>
      </c>
    </row>
    <row r="513" spans="1:20" x14ac:dyDescent="0.25">
      <c r="A513" t="s">
        <v>65</v>
      </c>
      <c r="B513" t="s">
        <v>66</v>
      </c>
      <c r="C513" t="s">
        <v>62</v>
      </c>
      <c r="D513" t="s">
        <v>121</v>
      </c>
      <c r="E513" t="s">
        <v>122</v>
      </c>
      <c r="F513" t="s">
        <v>118</v>
      </c>
      <c r="G513" t="s">
        <v>26</v>
      </c>
      <c r="H513">
        <v>550</v>
      </c>
      <c r="I513">
        <v>7377.19</v>
      </c>
      <c r="J513">
        <v>709.95</v>
      </c>
      <c r="K513">
        <v>9.6199999999999992</v>
      </c>
      <c r="L513">
        <v>865.19</v>
      </c>
      <c r="M513">
        <v>11.73</v>
      </c>
      <c r="N513">
        <v>5.38</v>
      </c>
      <c r="O513">
        <v>51.4</v>
      </c>
      <c r="P513">
        <v>30.49</v>
      </c>
      <c r="Q513">
        <v>85.16</v>
      </c>
      <c r="R513">
        <v>97.52</v>
      </c>
      <c r="S513">
        <v>80000</v>
      </c>
      <c r="T513">
        <v>7280000</v>
      </c>
    </row>
    <row r="514" spans="1:20" x14ac:dyDescent="0.25">
      <c r="A514" t="s">
        <v>67</v>
      </c>
      <c r="B514" t="s">
        <v>68</v>
      </c>
      <c r="C514" t="s">
        <v>69</v>
      </c>
      <c r="D514" t="s">
        <v>121</v>
      </c>
      <c r="E514" t="s">
        <v>122</v>
      </c>
      <c r="F514" t="s">
        <v>118</v>
      </c>
      <c r="G514" t="s">
        <v>26</v>
      </c>
      <c r="H514">
        <v>550</v>
      </c>
      <c r="I514">
        <v>7387.75</v>
      </c>
      <c r="J514">
        <v>654.91</v>
      </c>
      <c r="K514">
        <v>8.86</v>
      </c>
      <c r="L514">
        <v>963.28</v>
      </c>
      <c r="M514">
        <v>13.04</v>
      </c>
      <c r="N514">
        <v>4.9800000000000004</v>
      </c>
      <c r="O514">
        <v>39.1</v>
      </c>
      <c r="P514">
        <v>0</v>
      </c>
      <c r="Q514">
        <v>78.33</v>
      </c>
      <c r="R514">
        <v>89.96</v>
      </c>
      <c r="S514">
        <v>80000</v>
      </c>
      <c r="T514">
        <v>7280000</v>
      </c>
    </row>
    <row r="515" spans="1:20" x14ac:dyDescent="0.25">
      <c r="A515" t="s">
        <v>70</v>
      </c>
      <c r="B515" t="s">
        <v>71</v>
      </c>
      <c r="C515" t="s">
        <v>69</v>
      </c>
      <c r="D515" t="s">
        <v>121</v>
      </c>
      <c r="E515" t="s">
        <v>122</v>
      </c>
      <c r="F515" t="s">
        <v>118</v>
      </c>
      <c r="G515" t="s">
        <v>26</v>
      </c>
      <c r="H515">
        <v>550</v>
      </c>
      <c r="I515">
        <v>7180.47</v>
      </c>
      <c r="J515">
        <v>720.87</v>
      </c>
      <c r="K515">
        <v>10.039999999999999</v>
      </c>
      <c r="L515">
        <v>675.66</v>
      </c>
      <c r="M515">
        <v>9.41</v>
      </c>
      <c r="N515">
        <v>4.7</v>
      </c>
      <c r="O515">
        <v>21.6</v>
      </c>
      <c r="P515">
        <v>15.61</v>
      </c>
      <c r="Q515">
        <v>84.61</v>
      </c>
      <c r="R515">
        <v>99.02</v>
      </c>
      <c r="S515">
        <v>80000</v>
      </c>
      <c r="T515">
        <v>7280000</v>
      </c>
    </row>
    <row r="516" spans="1:20" x14ac:dyDescent="0.25">
      <c r="A516" t="s">
        <v>72</v>
      </c>
      <c r="B516" t="s">
        <v>73</v>
      </c>
      <c r="C516" t="s">
        <v>69</v>
      </c>
      <c r="D516" t="s">
        <v>121</v>
      </c>
      <c r="E516" t="s">
        <v>122</v>
      </c>
      <c r="F516" t="s">
        <v>118</v>
      </c>
      <c r="G516" t="s">
        <v>26</v>
      </c>
      <c r="H516">
        <v>550</v>
      </c>
      <c r="I516">
        <v>7964.17</v>
      </c>
      <c r="J516">
        <v>740.96</v>
      </c>
      <c r="K516">
        <v>9.3000000000000007</v>
      </c>
      <c r="L516">
        <v>1030.19</v>
      </c>
      <c r="M516">
        <v>12.94</v>
      </c>
      <c r="N516">
        <v>5.97</v>
      </c>
      <c r="O516">
        <v>23.9</v>
      </c>
      <c r="P516">
        <v>23.18</v>
      </c>
      <c r="Q516">
        <v>84.06</v>
      </c>
      <c r="R516">
        <v>101.78</v>
      </c>
      <c r="S516">
        <v>80000</v>
      </c>
      <c r="T516">
        <v>7280000</v>
      </c>
    </row>
    <row r="517" spans="1:20" x14ac:dyDescent="0.25">
      <c r="A517" t="s">
        <v>74</v>
      </c>
      <c r="B517" t="s">
        <v>75</v>
      </c>
      <c r="C517" t="s">
        <v>69</v>
      </c>
      <c r="D517" t="s">
        <v>121</v>
      </c>
      <c r="E517" t="s">
        <v>122</v>
      </c>
      <c r="F517" t="s">
        <v>118</v>
      </c>
      <c r="G517" t="s">
        <v>26</v>
      </c>
      <c r="H517">
        <v>550</v>
      </c>
      <c r="I517">
        <v>7689.25</v>
      </c>
      <c r="J517">
        <v>684.17</v>
      </c>
      <c r="K517">
        <v>8.9</v>
      </c>
      <c r="L517">
        <v>479.79</v>
      </c>
      <c r="M517">
        <v>6.24</v>
      </c>
      <c r="N517">
        <v>5.67</v>
      </c>
      <c r="O517">
        <v>22.6</v>
      </c>
      <c r="P517">
        <v>6.84</v>
      </c>
      <c r="Q517">
        <v>80.400000000000006</v>
      </c>
      <c r="R517">
        <v>93.98</v>
      </c>
      <c r="S517">
        <v>80000</v>
      </c>
      <c r="T517">
        <v>7280000</v>
      </c>
    </row>
    <row r="518" spans="1:20" x14ac:dyDescent="0.25">
      <c r="A518" t="s">
        <v>76</v>
      </c>
      <c r="B518" t="s">
        <v>77</v>
      </c>
      <c r="C518" t="s">
        <v>69</v>
      </c>
      <c r="D518" t="s">
        <v>121</v>
      </c>
      <c r="E518" t="s">
        <v>122</v>
      </c>
      <c r="F518" t="s">
        <v>118</v>
      </c>
      <c r="G518" t="s">
        <v>26</v>
      </c>
      <c r="H518">
        <v>550</v>
      </c>
      <c r="I518">
        <v>7340.47</v>
      </c>
      <c r="J518">
        <v>819.15</v>
      </c>
      <c r="K518">
        <v>11.16</v>
      </c>
      <c r="L518">
        <v>723.01</v>
      </c>
      <c r="M518">
        <v>9.85</v>
      </c>
      <c r="N518">
        <v>4.82</v>
      </c>
      <c r="O518">
        <v>44.6</v>
      </c>
      <c r="P518">
        <v>91.42</v>
      </c>
      <c r="Q518">
        <v>94.78</v>
      </c>
      <c r="R518">
        <v>112.52</v>
      </c>
      <c r="S518">
        <v>80000</v>
      </c>
      <c r="T518">
        <v>7280000</v>
      </c>
    </row>
    <row r="519" spans="1:20" x14ac:dyDescent="0.25">
      <c r="A519" t="s">
        <v>78</v>
      </c>
      <c r="B519" t="s">
        <v>79</v>
      </c>
      <c r="C519" t="s">
        <v>80</v>
      </c>
      <c r="D519" t="s">
        <v>121</v>
      </c>
      <c r="E519" t="s">
        <v>122</v>
      </c>
      <c r="F519" t="s">
        <v>118</v>
      </c>
      <c r="G519" t="s">
        <v>26</v>
      </c>
      <c r="H519">
        <v>550</v>
      </c>
      <c r="I519">
        <v>7307.33</v>
      </c>
      <c r="J519">
        <v>739.21</v>
      </c>
      <c r="K519">
        <v>10.119999999999999</v>
      </c>
      <c r="L519">
        <v>696.72</v>
      </c>
      <c r="M519">
        <v>9.5299999999999994</v>
      </c>
      <c r="N519">
        <v>5.09</v>
      </c>
      <c r="O519">
        <v>36.799999999999997</v>
      </c>
      <c r="P519">
        <v>34.880000000000003</v>
      </c>
      <c r="Q519">
        <v>85.13</v>
      </c>
      <c r="R519">
        <v>101.54</v>
      </c>
      <c r="S519">
        <v>80000</v>
      </c>
      <c r="T519">
        <v>7280000</v>
      </c>
    </row>
    <row r="520" spans="1:20" x14ac:dyDescent="0.25">
      <c r="A520" t="s">
        <v>81</v>
      </c>
      <c r="B520" t="s">
        <v>82</v>
      </c>
      <c r="C520" t="s">
        <v>80</v>
      </c>
      <c r="D520" t="s">
        <v>121</v>
      </c>
      <c r="E520" t="s">
        <v>122</v>
      </c>
      <c r="F520" t="s">
        <v>118</v>
      </c>
      <c r="G520" t="s">
        <v>26</v>
      </c>
      <c r="H520">
        <v>550</v>
      </c>
      <c r="I520">
        <v>7364.81</v>
      </c>
      <c r="J520">
        <v>876.73</v>
      </c>
      <c r="K520">
        <v>11.9</v>
      </c>
      <c r="L520">
        <v>523.19000000000005</v>
      </c>
      <c r="M520">
        <v>7.1</v>
      </c>
      <c r="N520">
        <v>4.8600000000000003</v>
      </c>
      <c r="O520">
        <v>50.5</v>
      </c>
      <c r="P520">
        <v>149.69999999999999</v>
      </c>
      <c r="Q520">
        <v>101.77</v>
      </c>
      <c r="R520">
        <v>120.43</v>
      </c>
      <c r="S520">
        <v>80000</v>
      </c>
      <c r="T520">
        <v>7280000</v>
      </c>
    </row>
    <row r="521" spans="1:20" x14ac:dyDescent="0.25">
      <c r="A521" t="s">
        <v>83</v>
      </c>
      <c r="B521" t="s">
        <v>84</v>
      </c>
      <c r="C521" t="s">
        <v>80</v>
      </c>
      <c r="D521" t="s">
        <v>121</v>
      </c>
      <c r="E521" t="s">
        <v>122</v>
      </c>
      <c r="F521" t="s">
        <v>118</v>
      </c>
      <c r="G521" t="s">
        <v>26</v>
      </c>
      <c r="H521">
        <v>550</v>
      </c>
      <c r="I521">
        <v>7193.36</v>
      </c>
      <c r="J521">
        <v>816.96</v>
      </c>
      <c r="K521">
        <v>11.36</v>
      </c>
      <c r="L521">
        <v>558.52</v>
      </c>
      <c r="M521">
        <v>7.76</v>
      </c>
      <c r="N521">
        <v>5.07</v>
      </c>
      <c r="O521">
        <v>12.7</v>
      </c>
      <c r="P521">
        <v>25.62</v>
      </c>
      <c r="Q521">
        <v>93.24</v>
      </c>
      <c r="R521">
        <v>112.22</v>
      </c>
      <c r="S521">
        <v>80000</v>
      </c>
      <c r="T521">
        <v>7280000</v>
      </c>
    </row>
    <row r="522" spans="1:20" x14ac:dyDescent="0.25">
      <c r="A522" t="s">
        <v>85</v>
      </c>
      <c r="B522" t="s">
        <v>86</v>
      </c>
      <c r="C522" t="s">
        <v>80</v>
      </c>
      <c r="D522" t="s">
        <v>121</v>
      </c>
      <c r="E522" t="s">
        <v>122</v>
      </c>
      <c r="F522" t="s">
        <v>118</v>
      </c>
      <c r="G522" t="s">
        <v>26</v>
      </c>
      <c r="H522">
        <v>550</v>
      </c>
      <c r="I522">
        <v>7500.2</v>
      </c>
      <c r="J522">
        <v>812.96</v>
      </c>
      <c r="K522">
        <v>10.84</v>
      </c>
      <c r="L522">
        <v>613.58000000000004</v>
      </c>
      <c r="M522">
        <v>8.18</v>
      </c>
      <c r="N522">
        <v>5.04</v>
      </c>
      <c r="O522">
        <v>41.6</v>
      </c>
      <c r="P522">
        <v>81.430000000000007</v>
      </c>
      <c r="Q522">
        <v>99.34</v>
      </c>
      <c r="R522">
        <v>111.67</v>
      </c>
      <c r="S522">
        <v>80000</v>
      </c>
      <c r="T522">
        <v>7280000</v>
      </c>
    </row>
    <row r="523" spans="1:20" x14ac:dyDescent="0.25">
      <c r="A523" t="s">
        <v>87</v>
      </c>
      <c r="B523" t="s">
        <v>88</v>
      </c>
      <c r="C523" t="s">
        <v>89</v>
      </c>
      <c r="D523" t="s">
        <v>121</v>
      </c>
      <c r="E523" t="s">
        <v>122</v>
      </c>
      <c r="F523" t="s">
        <v>118</v>
      </c>
      <c r="G523" t="s">
        <v>26</v>
      </c>
      <c r="H523">
        <v>550</v>
      </c>
      <c r="I523">
        <v>5296.28</v>
      </c>
      <c r="J523">
        <v>1068.7</v>
      </c>
      <c r="K523">
        <v>20.18</v>
      </c>
      <c r="L523">
        <v>-1114.8</v>
      </c>
      <c r="M523">
        <v>-21.05</v>
      </c>
      <c r="N523">
        <v>3.86</v>
      </c>
      <c r="O523">
        <v>40.799999999999997</v>
      </c>
      <c r="P523">
        <v>275.18</v>
      </c>
      <c r="Q523">
        <v>130.88</v>
      </c>
      <c r="R523">
        <v>146.80000000000001</v>
      </c>
      <c r="S523">
        <v>80000</v>
      </c>
      <c r="T523">
        <v>7280000</v>
      </c>
    </row>
    <row r="524" spans="1:20" x14ac:dyDescent="0.25">
      <c r="A524" t="s">
        <v>20</v>
      </c>
      <c r="B524" t="s">
        <v>21</v>
      </c>
      <c r="C524" t="s">
        <v>22</v>
      </c>
      <c r="D524" t="s">
        <v>123</v>
      </c>
      <c r="E524" t="s">
        <v>124</v>
      </c>
      <c r="F524" t="s">
        <v>118</v>
      </c>
      <c r="G524" t="s">
        <v>26</v>
      </c>
      <c r="H524">
        <v>432</v>
      </c>
      <c r="I524">
        <v>4627.08</v>
      </c>
      <c r="J524">
        <v>475.07</v>
      </c>
      <c r="K524">
        <v>10.27</v>
      </c>
      <c r="L524">
        <v>501.14</v>
      </c>
      <c r="M524">
        <v>10.83</v>
      </c>
      <c r="N524">
        <v>4.0999999999999996</v>
      </c>
      <c r="O524">
        <v>34.299999999999997</v>
      </c>
      <c r="P524">
        <v>0</v>
      </c>
      <c r="Q524">
        <v>63</v>
      </c>
      <c r="R524">
        <v>74.58</v>
      </c>
      <c r="S524">
        <v>70000</v>
      </c>
      <c r="T524">
        <v>6370000</v>
      </c>
    </row>
    <row r="525" spans="1:20" x14ac:dyDescent="0.25">
      <c r="A525" t="s">
        <v>27</v>
      </c>
      <c r="B525" t="s">
        <v>28</v>
      </c>
      <c r="C525" t="s">
        <v>22</v>
      </c>
      <c r="D525" t="s">
        <v>123</v>
      </c>
      <c r="E525" t="s">
        <v>124</v>
      </c>
      <c r="F525" t="s">
        <v>118</v>
      </c>
      <c r="G525" t="s">
        <v>26</v>
      </c>
      <c r="H525">
        <v>432</v>
      </c>
      <c r="I525">
        <v>4668.22</v>
      </c>
      <c r="J525">
        <v>467.18</v>
      </c>
      <c r="K525">
        <v>10.01</v>
      </c>
      <c r="L525">
        <v>646.21</v>
      </c>
      <c r="M525">
        <v>13.84</v>
      </c>
      <c r="N525">
        <v>4.3600000000000003</v>
      </c>
      <c r="O525">
        <v>16.100000000000001</v>
      </c>
      <c r="P525">
        <v>0</v>
      </c>
      <c r="Q525">
        <v>64.790000000000006</v>
      </c>
      <c r="R525">
        <v>73.34</v>
      </c>
      <c r="S525">
        <v>70000</v>
      </c>
      <c r="T525">
        <v>6370000</v>
      </c>
    </row>
    <row r="526" spans="1:20" x14ac:dyDescent="0.25">
      <c r="A526" t="s">
        <v>29</v>
      </c>
      <c r="B526" t="s">
        <v>30</v>
      </c>
      <c r="C526" t="s">
        <v>22</v>
      </c>
      <c r="D526" t="s">
        <v>123</v>
      </c>
      <c r="E526" t="s">
        <v>124</v>
      </c>
      <c r="F526" t="s">
        <v>118</v>
      </c>
      <c r="G526" t="s">
        <v>26</v>
      </c>
      <c r="H526">
        <v>432</v>
      </c>
      <c r="I526">
        <v>4609.54</v>
      </c>
      <c r="J526">
        <v>452.97</v>
      </c>
      <c r="K526">
        <v>9.83</v>
      </c>
      <c r="L526">
        <v>541.24</v>
      </c>
      <c r="M526">
        <v>11.74</v>
      </c>
      <c r="N526">
        <v>4.0199999999999996</v>
      </c>
      <c r="O526">
        <v>5.9</v>
      </c>
      <c r="P526">
        <v>0</v>
      </c>
      <c r="Q526">
        <v>60.46</v>
      </c>
      <c r="R526">
        <v>71.11</v>
      </c>
      <c r="S526">
        <v>70000</v>
      </c>
      <c r="T526">
        <v>6370000</v>
      </c>
    </row>
    <row r="527" spans="1:20" x14ac:dyDescent="0.25">
      <c r="A527" t="s">
        <v>31</v>
      </c>
      <c r="B527" t="s">
        <v>32</v>
      </c>
      <c r="C527" t="s">
        <v>22</v>
      </c>
      <c r="D527" t="s">
        <v>123</v>
      </c>
      <c r="E527" t="s">
        <v>124</v>
      </c>
      <c r="F527" t="s">
        <v>118</v>
      </c>
      <c r="G527" t="s">
        <v>26</v>
      </c>
      <c r="H527">
        <v>432</v>
      </c>
      <c r="I527">
        <v>4486.75</v>
      </c>
      <c r="J527">
        <v>490.3</v>
      </c>
      <c r="K527">
        <v>10.93</v>
      </c>
      <c r="L527">
        <v>365.2</v>
      </c>
      <c r="M527">
        <v>8.14</v>
      </c>
      <c r="N527">
        <v>3.93</v>
      </c>
      <c r="O527">
        <v>45.9</v>
      </c>
      <c r="P527">
        <v>0</v>
      </c>
      <c r="Q527">
        <v>65.66</v>
      </c>
      <c r="R527">
        <v>76.97</v>
      </c>
      <c r="S527">
        <v>70000</v>
      </c>
      <c r="T527">
        <v>6370000</v>
      </c>
    </row>
    <row r="528" spans="1:20" x14ac:dyDescent="0.25">
      <c r="A528" t="s">
        <v>33</v>
      </c>
      <c r="B528" t="s">
        <v>34</v>
      </c>
      <c r="C528" t="s">
        <v>22</v>
      </c>
      <c r="D528" t="s">
        <v>123</v>
      </c>
      <c r="E528" t="s">
        <v>124</v>
      </c>
      <c r="F528" t="s">
        <v>118</v>
      </c>
      <c r="G528" t="s">
        <v>26</v>
      </c>
      <c r="H528">
        <v>432</v>
      </c>
      <c r="I528">
        <v>4816.1899999999996</v>
      </c>
      <c r="J528">
        <v>480.17</v>
      </c>
      <c r="K528">
        <v>9.9700000000000006</v>
      </c>
      <c r="L528">
        <v>563.54999999999995</v>
      </c>
      <c r="M528">
        <v>11.7</v>
      </c>
      <c r="N528">
        <v>4.1399999999999997</v>
      </c>
      <c r="O528">
        <v>40.6</v>
      </c>
      <c r="P528">
        <v>0</v>
      </c>
      <c r="Q528">
        <v>66.66</v>
      </c>
      <c r="R528">
        <v>75.38</v>
      </c>
      <c r="S528">
        <v>70000</v>
      </c>
      <c r="T528">
        <v>6370000</v>
      </c>
    </row>
    <row r="529" spans="1:20" x14ac:dyDescent="0.25">
      <c r="A529" t="s">
        <v>35</v>
      </c>
      <c r="B529" t="s">
        <v>36</v>
      </c>
      <c r="C529" t="s">
        <v>37</v>
      </c>
      <c r="D529" t="s">
        <v>123</v>
      </c>
      <c r="E529" t="s">
        <v>124</v>
      </c>
      <c r="F529" t="s">
        <v>118</v>
      </c>
      <c r="G529" t="s">
        <v>26</v>
      </c>
      <c r="H529">
        <v>432</v>
      </c>
      <c r="I529">
        <v>1537.56</v>
      </c>
      <c r="J529">
        <v>150.91</v>
      </c>
      <c r="K529">
        <v>9.81</v>
      </c>
      <c r="L529">
        <v>-665.27</v>
      </c>
      <c r="M529">
        <v>-43.27</v>
      </c>
      <c r="N529">
        <v>1.43</v>
      </c>
      <c r="O529">
        <v>46.5</v>
      </c>
      <c r="P529">
        <v>0</v>
      </c>
      <c r="Q529">
        <v>20.57</v>
      </c>
      <c r="R529">
        <v>23.69</v>
      </c>
      <c r="S529">
        <v>70000</v>
      </c>
      <c r="T529">
        <v>6370000</v>
      </c>
    </row>
    <row r="530" spans="1:20" x14ac:dyDescent="0.25">
      <c r="A530" t="s">
        <v>38</v>
      </c>
      <c r="B530" t="s">
        <v>39</v>
      </c>
      <c r="C530" t="s">
        <v>37</v>
      </c>
      <c r="D530" t="s">
        <v>123</v>
      </c>
      <c r="E530" t="s">
        <v>124</v>
      </c>
      <c r="F530" t="s">
        <v>118</v>
      </c>
      <c r="G530" t="s">
        <v>26</v>
      </c>
      <c r="H530">
        <v>432</v>
      </c>
      <c r="I530">
        <v>1451.39</v>
      </c>
      <c r="J530">
        <v>321.24</v>
      </c>
      <c r="K530">
        <v>22.13</v>
      </c>
      <c r="L530">
        <v>-555.5</v>
      </c>
      <c r="M530">
        <v>-38.270000000000003</v>
      </c>
      <c r="N530">
        <v>1.27</v>
      </c>
      <c r="O530">
        <v>15.6</v>
      </c>
      <c r="P530">
        <v>0</v>
      </c>
      <c r="Q530">
        <v>44.05</v>
      </c>
      <c r="R530">
        <v>50.43</v>
      </c>
      <c r="S530">
        <v>70000</v>
      </c>
      <c r="T530">
        <v>6370000</v>
      </c>
    </row>
    <row r="531" spans="1:20" x14ac:dyDescent="0.25">
      <c r="A531" t="s">
        <v>40</v>
      </c>
      <c r="B531" t="s">
        <v>41</v>
      </c>
      <c r="C531" t="s">
        <v>37</v>
      </c>
      <c r="D531" t="s">
        <v>123</v>
      </c>
      <c r="E531" t="s">
        <v>124</v>
      </c>
      <c r="F531" t="s">
        <v>118</v>
      </c>
      <c r="G531" t="s">
        <v>26</v>
      </c>
      <c r="H531">
        <v>432</v>
      </c>
      <c r="I531">
        <v>995.07</v>
      </c>
      <c r="J531">
        <v>290.85000000000002</v>
      </c>
      <c r="K531">
        <v>29.23</v>
      </c>
      <c r="L531">
        <v>-206.85</v>
      </c>
      <c r="M531">
        <v>-20.79</v>
      </c>
      <c r="N531">
        <v>0.88</v>
      </c>
      <c r="O531">
        <v>55.2</v>
      </c>
      <c r="P531">
        <v>0</v>
      </c>
      <c r="Q531">
        <v>39.950000000000003</v>
      </c>
      <c r="R531">
        <v>45.66</v>
      </c>
      <c r="S531">
        <v>70000</v>
      </c>
      <c r="T531">
        <v>6370000</v>
      </c>
    </row>
    <row r="532" spans="1:20" x14ac:dyDescent="0.25">
      <c r="A532" t="s">
        <v>42</v>
      </c>
      <c r="B532" t="s">
        <v>43</v>
      </c>
      <c r="C532" t="s">
        <v>37</v>
      </c>
      <c r="D532" t="s">
        <v>123</v>
      </c>
      <c r="E532" t="s">
        <v>124</v>
      </c>
      <c r="F532" t="s">
        <v>118</v>
      </c>
      <c r="G532" t="s">
        <v>26</v>
      </c>
      <c r="H532">
        <v>432</v>
      </c>
      <c r="I532">
        <v>1452.19</v>
      </c>
      <c r="J532">
        <v>546.35</v>
      </c>
      <c r="K532">
        <v>37.619999999999997</v>
      </c>
      <c r="L532">
        <v>-492.1</v>
      </c>
      <c r="M532">
        <v>-33.89</v>
      </c>
      <c r="N532">
        <v>1.42</v>
      </c>
      <c r="O532">
        <v>54.7</v>
      </c>
      <c r="P532">
        <v>0</v>
      </c>
      <c r="Q532">
        <v>75.489999999999995</v>
      </c>
      <c r="R532">
        <v>85.77</v>
      </c>
      <c r="S532">
        <v>70000</v>
      </c>
      <c r="T532">
        <v>6370000</v>
      </c>
    </row>
    <row r="533" spans="1:20" x14ac:dyDescent="0.25">
      <c r="A533" t="s">
        <v>44</v>
      </c>
      <c r="B533" t="s">
        <v>45</v>
      </c>
      <c r="C533" t="s">
        <v>37</v>
      </c>
      <c r="D533" t="s">
        <v>123</v>
      </c>
      <c r="E533" t="s">
        <v>124</v>
      </c>
      <c r="F533" t="s">
        <v>118</v>
      </c>
      <c r="G533" t="s">
        <v>26</v>
      </c>
      <c r="H533">
        <v>432</v>
      </c>
      <c r="I533">
        <v>1158.73</v>
      </c>
      <c r="J533">
        <v>579.16</v>
      </c>
      <c r="K533">
        <v>49.98</v>
      </c>
      <c r="L533">
        <v>-431.71</v>
      </c>
      <c r="M533">
        <v>-37.26</v>
      </c>
      <c r="N533">
        <v>0.95</v>
      </c>
      <c r="O533">
        <v>30.2</v>
      </c>
      <c r="P533">
        <v>1.79</v>
      </c>
      <c r="Q533">
        <v>76.83</v>
      </c>
      <c r="R533">
        <v>90.92</v>
      </c>
      <c r="S533">
        <v>70000</v>
      </c>
      <c r="T533">
        <v>6370000</v>
      </c>
    </row>
    <row r="534" spans="1:20" x14ac:dyDescent="0.25">
      <c r="A534" t="s">
        <v>46</v>
      </c>
      <c r="B534" t="s">
        <v>47</v>
      </c>
      <c r="C534" t="s">
        <v>48</v>
      </c>
      <c r="D534" t="s">
        <v>123</v>
      </c>
      <c r="E534" t="s">
        <v>124</v>
      </c>
      <c r="F534" t="s">
        <v>118</v>
      </c>
      <c r="G534" t="s">
        <v>26</v>
      </c>
      <c r="H534">
        <v>432</v>
      </c>
      <c r="I534">
        <v>3393.41</v>
      </c>
      <c r="J534">
        <v>572.79</v>
      </c>
      <c r="K534">
        <v>16.88</v>
      </c>
      <c r="L534">
        <v>144.15</v>
      </c>
      <c r="M534">
        <v>4.25</v>
      </c>
      <c r="N534">
        <v>2.74</v>
      </c>
      <c r="O534">
        <v>54</v>
      </c>
      <c r="P534">
        <v>0</v>
      </c>
      <c r="Q534">
        <v>78.97</v>
      </c>
      <c r="R534">
        <v>89.92</v>
      </c>
      <c r="S534">
        <v>70000</v>
      </c>
      <c r="T534">
        <v>6370000</v>
      </c>
    </row>
    <row r="535" spans="1:20" x14ac:dyDescent="0.25">
      <c r="A535" t="s">
        <v>49</v>
      </c>
      <c r="B535" t="s">
        <v>50</v>
      </c>
      <c r="C535" t="s">
        <v>48</v>
      </c>
      <c r="D535" t="s">
        <v>123</v>
      </c>
      <c r="E535" t="s">
        <v>124</v>
      </c>
      <c r="F535" t="s">
        <v>118</v>
      </c>
      <c r="G535" t="s">
        <v>26</v>
      </c>
      <c r="H535">
        <v>432</v>
      </c>
      <c r="I535">
        <v>3446.63</v>
      </c>
      <c r="J535">
        <v>664.07</v>
      </c>
      <c r="K535">
        <v>19.27</v>
      </c>
      <c r="L535">
        <v>38.14</v>
      </c>
      <c r="M535">
        <v>1.1100000000000001</v>
      </c>
      <c r="N535">
        <v>2.88</v>
      </c>
      <c r="O535">
        <v>60.9</v>
      </c>
      <c r="P535">
        <v>64.03</v>
      </c>
      <c r="Q535">
        <v>86.82</v>
      </c>
      <c r="R535">
        <v>104.25</v>
      </c>
      <c r="S535">
        <v>70000</v>
      </c>
      <c r="T535">
        <v>6370000</v>
      </c>
    </row>
    <row r="536" spans="1:20" x14ac:dyDescent="0.25">
      <c r="A536" t="s">
        <v>51</v>
      </c>
      <c r="B536" t="s">
        <v>52</v>
      </c>
      <c r="C536" t="s">
        <v>48</v>
      </c>
      <c r="D536" t="s">
        <v>123</v>
      </c>
      <c r="E536" t="s">
        <v>124</v>
      </c>
      <c r="F536" t="s">
        <v>118</v>
      </c>
      <c r="G536" t="s">
        <v>26</v>
      </c>
      <c r="H536">
        <v>432</v>
      </c>
      <c r="I536">
        <v>3429.48</v>
      </c>
      <c r="J536">
        <v>518.77</v>
      </c>
      <c r="K536">
        <v>15.13</v>
      </c>
      <c r="L536">
        <v>204.24</v>
      </c>
      <c r="M536">
        <v>5.96</v>
      </c>
      <c r="N536">
        <v>2.9</v>
      </c>
      <c r="O536">
        <v>6.3</v>
      </c>
      <c r="P536">
        <v>0</v>
      </c>
      <c r="Q536">
        <v>72.010000000000005</v>
      </c>
      <c r="R536">
        <v>81.44</v>
      </c>
      <c r="S536">
        <v>70000</v>
      </c>
      <c r="T536">
        <v>6370000</v>
      </c>
    </row>
    <row r="537" spans="1:20" x14ac:dyDescent="0.25">
      <c r="A537" t="s">
        <v>53</v>
      </c>
      <c r="B537" t="s">
        <v>54</v>
      </c>
      <c r="C537" t="s">
        <v>55</v>
      </c>
      <c r="D537" t="s">
        <v>123</v>
      </c>
      <c r="E537" t="s">
        <v>124</v>
      </c>
      <c r="F537" t="s">
        <v>118</v>
      </c>
      <c r="G537" t="s">
        <v>26</v>
      </c>
      <c r="H537">
        <v>432</v>
      </c>
      <c r="I537">
        <v>4827.62</v>
      </c>
      <c r="J537">
        <v>838.48</v>
      </c>
      <c r="K537">
        <v>17.37</v>
      </c>
      <c r="L537">
        <v>476.74</v>
      </c>
      <c r="M537">
        <v>9.8800000000000008</v>
      </c>
      <c r="N537">
        <v>4.43</v>
      </c>
      <c r="O537">
        <v>39.6</v>
      </c>
      <c r="P537">
        <v>153.59</v>
      </c>
      <c r="Q537">
        <v>109.53</v>
      </c>
      <c r="R537">
        <v>131.63</v>
      </c>
      <c r="S537">
        <v>70000</v>
      </c>
      <c r="T537">
        <v>6370000</v>
      </c>
    </row>
    <row r="538" spans="1:20" x14ac:dyDescent="0.25">
      <c r="A538" t="s">
        <v>56</v>
      </c>
      <c r="B538" t="s">
        <v>57</v>
      </c>
      <c r="C538" t="s">
        <v>55</v>
      </c>
      <c r="D538" t="s">
        <v>123</v>
      </c>
      <c r="E538" t="s">
        <v>124</v>
      </c>
      <c r="F538" t="s">
        <v>118</v>
      </c>
      <c r="G538" t="s">
        <v>26</v>
      </c>
      <c r="H538">
        <v>432</v>
      </c>
      <c r="I538">
        <v>4645.7</v>
      </c>
      <c r="J538">
        <v>601.9</v>
      </c>
      <c r="K538">
        <v>12.96</v>
      </c>
      <c r="L538">
        <v>198.39</v>
      </c>
      <c r="M538">
        <v>4.2699999999999996</v>
      </c>
      <c r="N538">
        <v>4.08</v>
      </c>
      <c r="O538">
        <v>9.6999999999999993</v>
      </c>
      <c r="P538">
        <v>2.91</v>
      </c>
      <c r="Q538">
        <v>80.69</v>
      </c>
      <c r="R538">
        <v>94.49</v>
      </c>
      <c r="S538">
        <v>70000</v>
      </c>
      <c r="T538">
        <v>6370000</v>
      </c>
    </row>
    <row r="539" spans="1:20" x14ac:dyDescent="0.25">
      <c r="A539" t="s">
        <v>58</v>
      </c>
      <c r="B539" t="s">
        <v>59</v>
      </c>
      <c r="C539" t="s">
        <v>55</v>
      </c>
      <c r="D539" t="s">
        <v>123</v>
      </c>
      <c r="E539" t="s">
        <v>124</v>
      </c>
      <c r="F539" t="s">
        <v>118</v>
      </c>
      <c r="G539" t="s">
        <v>26</v>
      </c>
      <c r="H539">
        <v>432</v>
      </c>
      <c r="I539">
        <v>4476.1899999999996</v>
      </c>
      <c r="J539">
        <v>672.42</v>
      </c>
      <c r="K539">
        <v>15.02</v>
      </c>
      <c r="L539">
        <v>264.05</v>
      </c>
      <c r="M539">
        <v>5.9</v>
      </c>
      <c r="N539">
        <v>3.71</v>
      </c>
      <c r="O539">
        <v>51.4</v>
      </c>
      <c r="P539">
        <v>59.75</v>
      </c>
      <c r="Q539">
        <v>93.25</v>
      </c>
      <c r="R539">
        <v>105.56</v>
      </c>
      <c r="S539">
        <v>70000</v>
      </c>
      <c r="T539">
        <v>6370000</v>
      </c>
    </row>
    <row r="540" spans="1:20" x14ac:dyDescent="0.25">
      <c r="A540" t="s">
        <v>60</v>
      </c>
      <c r="B540" t="s">
        <v>61</v>
      </c>
      <c r="C540" t="s">
        <v>62</v>
      </c>
      <c r="D540" t="s">
        <v>123</v>
      </c>
      <c r="E540" t="s">
        <v>124</v>
      </c>
      <c r="F540" t="s">
        <v>118</v>
      </c>
      <c r="G540" t="s">
        <v>26</v>
      </c>
      <c r="H540">
        <v>432</v>
      </c>
      <c r="I540">
        <v>4472.0600000000004</v>
      </c>
      <c r="J540">
        <v>618.72</v>
      </c>
      <c r="K540">
        <v>13.84</v>
      </c>
      <c r="L540">
        <v>322.7</v>
      </c>
      <c r="M540">
        <v>7.22</v>
      </c>
      <c r="N540">
        <v>4</v>
      </c>
      <c r="O540">
        <v>60.4</v>
      </c>
      <c r="P540">
        <v>29.61</v>
      </c>
      <c r="Q540">
        <v>84.29</v>
      </c>
      <c r="R540">
        <v>97.13</v>
      </c>
      <c r="S540">
        <v>70000</v>
      </c>
      <c r="T540">
        <v>6370000</v>
      </c>
    </row>
    <row r="541" spans="1:20" x14ac:dyDescent="0.25">
      <c r="A541" t="s">
        <v>63</v>
      </c>
      <c r="B541" t="s">
        <v>64</v>
      </c>
      <c r="C541" t="s">
        <v>62</v>
      </c>
      <c r="D541" t="s">
        <v>123</v>
      </c>
      <c r="E541" t="s">
        <v>124</v>
      </c>
      <c r="F541" t="s">
        <v>118</v>
      </c>
      <c r="G541" t="s">
        <v>26</v>
      </c>
      <c r="H541">
        <v>432</v>
      </c>
      <c r="I541">
        <v>4815.38</v>
      </c>
      <c r="J541">
        <v>649.54999999999995</v>
      </c>
      <c r="K541">
        <v>13.49</v>
      </c>
      <c r="L541">
        <v>334.62</v>
      </c>
      <c r="M541">
        <v>6.95</v>
      </c>
      <c r="N541">
        <v>4.17</v>
      </c>
      <c r="O541">
        <v>22</v>
      </c>
      <c r="P541">
        <v>19.010000000000002</v>
      </c>
      <c r="Q541">
        <v>88.18</v>
      </c>
      <c r="R541">
        <v>101.97</v>
      </c>
      <c r="S541">
        <v>70000</v>
      </c>
      <c r="T541">
        <v>6370000</v>
      </c>
    </row>
    <row r="542" spans="1:20" x14ac:dyDescent="0.25">
      <c r="A542" t="s">
        <v>65</v>
      </c>
      <c r="B542" t="s">
        <v>66</v>
      </c>
      <c r="C542" t="s">
        <v>62</v>
      </c>
      <c r="D542" t="s">
        <v>123</v>
      </c>
      <c r="E542" t="s">
        <v>124</v>
      </c>
      <c r="F542" t="s">
        <v>118</v>
      </c>
      <c r="G542" t="s">
        <v>26</v>
      </c>
      <c r="H542">
        <v>432</v>
      </c>
      <c r="I542">
        <v>4575.21</v>
      </c>
      <c r="J542">
        <v>621.20000000000005</v>
      </c>
      <c r="K542">
        <v>13.58</v>
      </c>
      <c r="L542">
        <v>249.28</v>
      </c>
      <c r="M542">
        <v>5.45</v>
      </c>
      <c r="N542">
        <v>4.0599999999999996</v>
      </c>
      <c r="O542">
        <v>17.600000000000001</v>
      </c>
      <c r="P542">
        <v>9.14</v>
      </c>
      <c r="Q542">
        <v>85.16</v>
      </c>
      <c r="R542">
        <v>97.52</v>
      </c>
      <c r="S542">
        <v>70000</v>
      </c>
      <c r="T542">
        <v>6370000</v>
      </c>
    </row>
    <row r="543" spans="1:20" x14ac:dyDescent="0.25">
      <c r="A543" t="s">
        <v>67</v>
      </c>
      <c r="B543" t="s">
        <v>68</v>
      </c>
      <c r="C543" t="s">
        <v>69</v>
      </c>
      <c r="D543" t="s">
        <v>123</v>
      </c>
      <c r="E543" t="s">
        <v>124</v>
      </c>
      <c r="F543" t="s">
        <v>118</v>
      </c>
      <c r="G543" t="s">
        <v>26</v>
      </c>
      <c r="H543">
        <v>432</v>
      </c>
      <c r="I543">
        <v>4521.12</v>
      </c>
      <c r="J543">
        <v>573.04999999999995</v>
      </c>
      <c r="K543">
        <v>12.67</v>
      </c>
      <c r="L543">
        <v>278.72000000000003</v>
      </c>
      <c r="M543">
        <v>6.16</v>
      </c>
      <c r="N543">
        <v>4.05</v>
      </c>
      <c r="O543">
        <v>16.7</v>
      </c>
      <c r="P543">
        <v>0</v>
      </c>
      <c r="Q543">
        <v>78.33</v>
      </c>
      <c r="R543">
        <v>89.96</v>
      </c>
      <c r="S543">
        <v>70000</v>
      </c>
      <c r="T543">
        <v>6370000</v>
      </c>
    </row>
    <row r="544" spans="1:20" x14ac:dyDescent="0.25">
      <c r="A544" t="s">
        <v>70</v>
      </c>
      <c r="B544" t="s">
        <v>71</v>
      </c>
      <c r="C544" t="s">
        <v>69</v>
      </c>
      <c r="D544" t="s">
        <v>123</v>
      </c>
      <c r="E544" t="s">
        <v>124</v>
      </c>
      <c r="F544" t="s">
        <v>118</v>
      </c>
      <c r="G544" t="s">
        <v>26</v>
      </c>
      <c r="H544">
        <v>432</v>
      </c>
      <c r="I544">
        <v>4610.26</v>
      </c>
      <c r="J544">
        <v>630.76</v>
      </c>
      <c r="K544">
        <v>13.68</v>
      </c>
      <c r="L544">
        <v>470.55</v>
      </c>
      <c r="M544">
        <v>10.210000000000001</v>
      </c>
      <c r="N544">
        <v>4.2699999999999996</v>
      </c>
      <c r="O544">
        <v>15.7</v>
      </c>
      <c r="P544">
        <v>9.92</v>
      </c>
      <c r="Q544">
        <v>84.61</v>
      </c>
      <c r="R544">
        <v>99.02</v>
      </c>
      <c r="S544">
        <v>70000</v>
      </c>
      <c r="T544">
        <v>6370000</v>
      </c>
    </row>
    <row r="545" spans="1:20" x14ac:dyDescent="0.25">
      <c r="A545" t="s">
        <v>72</v>
      </c>
      <c r="B545" t="s">
        <v>73</v>
      </c>
      <c r="C545" t="s">
        <v>69</v>
      </c>
      <c r="D545" t="s">
        <v>123</v>
      </c>
      <c r="E545" t="s">
        <v>124</v>
      </c>
      <c r="F545" t="s">
        <v>118</v>
      </c>
      <c r="G545" t="s">
        <v>26</v>
      </c>
      <c r="H545">
        <v>432</v>
      </c>
      <c r="I545">
        <v>4753.4799999999996</v>
      </c>
      <c r="J545">
        <v>648.34</v>
      </c>
      <c r="K545">
        <v>13.64</v>
      </c>
      <c r="L545">
        <v>553.57000000000005</v>
      </c>
      <c r="M545">
        <v>11.65</v>
      </c>
      <c r="N545">
        <v>4.4000000000000004</v>
      </c>
      <c r="O545">
        <v>4.5</v>
      </c>
      <c r="P545">
        <v>3.82</v>
      </c>
      <c r="Q545">
        <v>84.06</v>
      </c>
      <c r="R545">
        <v>101.78</v>
      </c>
      <c r="S545">
        <v>70000</v>
      </c>
      <c r="T545">
        <v>6370000</v>
      </c>
    </row>
    <row r="546" spans="1:20" x14ac:dyDescent="0.25">
      <c r="A546" t="s">
        <v>74</v>
      </c>
      <c r="B546" t="s">
        <v>75</v>
      </c>
      <c r="C546" t="s">
        <v>69</v>
      </c>
      <c r="D546" t="s">
        <v>123</v>
      </c>
      <c r="E546" t="s">
        <v>124</v>
      </c>
      <c r="F546" t="s">
        <v>118</v>
      </c>
      <c r="G546" t="s">
        <v>26</v>
      </c>
      <c r="H546">
        <v>432</v>
      </c>
      <c r="I546">
        <v>4685</v>
      </c>
      <c r="J546">
        <v>598.65</v>
      </c>
      <c r="K546">
        <v>12.78</v>
      </c>
      <c r="L546">
        <v>526.26</v>
      </c>
      <c r="M546">
        <v>11.23</v>
      </c>
      <c r="N546">
        <v>3.91</v>
      </c>
      <c r="O546">
        <v>12.7</v>
      </c>
      <c r="P546">
        <v>3.36</v>
      </c>
      <c r="Q546">
        <v>80.400000000000006</v>
      </c>
      <c r="R546">
        <v>93.98</v>
      </c>
      <c r="S546">
        <v>70000</v>
      </c>
      <c r="T546">
        <v>6370000</v>
      </c>
    </row>
    <row r="547" spans="1:20" x14ac:dyDescent="0.25">
      <c r="A547" t="s">
        <v>76</v>
      </c>
      <c r="B547" t="s">
        <v>77</v>
      </c>
      <c r="C547" t="s">
        <v>69</v>
      </c>
      <c r="D547" t="s">
        <v>123</v>
      </c>
      <c r="E547" t="s">
        <v>124</v>
      </c>
      <c r="F547" t="s">
        <v>118</v>
      </c>
      <c r="G547" t="s">
        <v>26</v>
      </c>
      <c r="H547">
        <v>432</v>
      </c>
      <c r="I547">
        <v>4850.03</v>
      </c>
      <c r="J547">
        <v>716.75</v>
      </c>
      <c r="K547">
        <v>14.78</v>
      </c>
      <c r="L547">
        <v>331.62</v>
      </c>
      <c r="M547">
        <v>6.84</v>
      </c>
      <c r="N547">
        <v>4.17</v>
      </c>
      <c r="O547">
        <v>34</v>
      </c>
      <c r="P547">
        <v>60.98</v>
      </c>
      <c r="Q547">
        <v>94.78</v>
      </c>
      <c r="R547">
        <v>112.52</v>
      </c>
      <c r="S547">
        <v>70000</v>
      </c>
      <c r="T547">
        <v>6370000</v>
      </c>
    </row>
    <row r="548" spans="1:20" x14ac:dyDescent="0.25">
      <c r="A548" t="s">
        <v>78</v>
      </c>
      <c r="B548" t="s">
        <v>79</v>
      </c>
      <c r="C548" t="s">
        <v>80</v>
      </c>
      <c r="D548" t="s">
        <v>123</v>
      </c>
      <c r="E548" t="s">
        <v>124</v>
      </c>
      <c r="F548" t="s">
        <v>118</v>
      </c>
      <c r="G548" t="s">
        <v>26</v>
      </c>
      <c r="H548">
        <v>432</v>
      </c>
      <c r="I548">
        <v>4923.6000000000004</v>
      </c>
      <c r="J548">
        <v>646.80999999999995</v>
      </c>
      <c r="K548">
        <v>13.14</v>
      </c>
      <c r="L548">
        <v>442.28</v>
      </c>
      <c r="M548">
        <v>8.98</v>
      </c>
      <c r="N548">
        <v>4.74</v>
      </c>
      <c r="O548">
        <v>6.9</v>
      </c>
      <c r="P548">
        <v>5.72</v>
      </c>
      <c r="Q548">
        <v>85.13</v>
      </c>
      <c r="R548">
        <v>101.54</v>
      </c>
      <c r="S548">
        <v>70000</v>
      </c>
      <c r="T548">
        <v>6370000</v>
      </c>
    </row>
    <row r="549" spans="1:20" x14ac:dyDescent="0.25">
      <c r="A549" t="s">
        <v>81</v>
      </c>
      <c r="B549" t="s">
        <v>82</v>
      </c>
      <c r="C549" t="s">
        <v>80</v>
      </c>
      <c r="D549" t="s">
        <v>123</v>
      </c>
      <c r="E549" t="s">
        <v>124</v>
      </c>
      <c r="F549" t="s">
        <v>118</v>
      </c>
      <c r="G549" t="s">
        <v>26</v>
      </c>
      <c r="H549">
        <v>432</v>
      </c>
      <c r="I549">
        <v>4925.79</v>
      </c>
      <c r="J549">
        <v>767.14</v>
      </c>
      <c r="K549">
        <v>15.57</v>
      </c>
      <c r="L549">
        <v>464.82</v>
      </c>
      <c r="M549">
        <v>9.44</v>
      </c>
      <c r="N549">
        <v>4.67</v>
      </c>
      <c r="O549">
        <v>20.6</v>
      </c>
      <c r="P549">
        <v>53.43</v>
      </c>
      <c r="Q549">
        <v>101.77</v>
      </c>
      <c r="R549">
        <v>120.43</v>
      </c>
      <c r="S549">
        <v>70000</v>
      </c>
      <c r="T549">
        <v>6370000</v>
      </c>
    </row>
    <row r="550" spans="1:20" x14ac:dyDescent="0.25">
      <c r="A550" t="s">
        <v>83</v>
      </c>
      <c r="B550" t="s">
        <v>84</v>
      </c>
      <c r="C550" t="s">
        <v>80</v>
      </c>
      <c r="D550" t="s">
        <v>123</v>
      </c>
      <c r="E550" t="s">
        <v>124</v>
      </c>
      <c r="F550" t="s">
        <v>118</v>
      </c>
      <c r="G550" t="s">
        <v>26</v>
      </c>
      <c r="H550">
        <v>432</v>
      </c>
      <c r="I550">
        <v>4759.5600000000004</v>
      </c>
      <c r="J550">
        <v>714.84</v>
      </c>
      <c r="K550">
        <v>15.02</v>
      </c>
      <c r="L550">
        <v>582.38</v>
      </c>
      <c r="M550">
        <v>12.24</v>
      </c>
      <c r="N550">
        <v>4.53</v>
      </c>
      <c r="O550">
        <v>24.4</v>
      </c>
      <c r="P550">
        <v>43.06</v>
      </c>
      <c r="Q550">
        <v>93.24</v>
      </c>
      <c r="R550">
        <v>112.22</v>
      </c>
      <c r="S550">
        <v>70000</v>
      </c>
      <c r="T550">
        <v>6370000</v>
      </c>
    </row>
    <row r="551" spans="1:20" x14ac:dyDescent="0.25">
      <c r="A551" t="s">
        <v>85</v>
      </c>
      <c r="B551" t="s">
        <v>86</v>
      </c>
      <c r="C551" t="s">
        <v>80</v>
      </c>
      <c r="D551" t="s">
        <v>123</v>
      </c>
      <c r="E551" t="s">
        <v>124</v>
      </c>
      <c r="F551" t="s">
        <v>118</v>
      </c>
      <c r="G551" t="s">
        <v>26</v>
      </c>
      <c r="H551">
        <v>432</v>
      </c>
      <c r="I551">
        <v>4967.3599999999997</v>
      </c>
      <c r="J551">
        <v>711.34</v>
      </c>
      <c r="K551">
        <v>14.32</v>
      </c>
      <c r="L551">
        <v>537.66999999999996</v>
      </c>
      <c r="M551">
        <v>10.82</v>
      </c>
      <c r="N551">
        <v>4.3499999999999996</v>
      </c>
      <c r="O551">
        <v>63</v>
      </c>
      <c r="P551">
        <v>107.9</v>
      </c>
      <c r="Q551">
        <v>99.34</v>
      </c>
      <c r="R551">
        <v>111.67</v>
      </c>
      <c r="S551">
        <v>70000</v>
      </c>
      <c r="T551">
        <v>6370000</v>
      </c>
    </row>
    <row r="552" spans="1:20" x14ac:dyDescent="0.25">
      <c r="A552" t="s">
        <v>87</v>
      </c>
      <c r="B552" t="s">
        <v>88</v>
      </c>
      <c r="C552" t="s">
        <v>89</v>
      </c>
      <c r="D552" t="s">
        <v>123</v>
      </c>
      <c r="E552" t="s">
        <v>124</v>
      </c>
      <c r="F552" t="s">
        <v>118</v>
      </c>
      <c r="G552" t="s">
        <v>26</v>
      </c>
      <c r="H552">
        <v>432</v>
      </c>
      <c r="I552">
        <v>3319.04</v>
      </c>
      <c r="J552">
        <v>935.12</v>
      </c>
      <c r="K552">
        <v>28.17</v>
      </c>
      <c r="L552">
        <v>-575.75</v>
      </c>
      <c r="M552">
        <v>-17.350000000000001</v>
      </c>
      <c r="N552">
        <v>2.85</v>
      </c>
      <c r="O552">
        <v>60.8</v>
      </c>
      <c r="P552">
        <v>358.82</v>
      </c>
      <c r="Q552">
        <v>130.88</v>
      </c>
      <c r="R552">
        <v>146.80000000000001</v>
      </c>
      <c r="S552">
        <v>70000</v>
      </c>
      <c r="T552">
        <v>6370000</v>
      </c>
    </row>
    <row r="553" spans="1:20" x14ac:dyDescent="0.25">
      <c r="A553" t="s">
        <v>20</v>
      </c>
      <c r="B553" t="s">
        <v>21</v>
      </c>
      <c r="C553" t="s">
        <v>22</v>
      </c>
      <c r="D553" t="s">
        <v>125</v>
      </c>
      <c r="E553" t="s">
        <v>126</v>
      </c>
      <c r="F553" t="s">
        <v>118</v>
      </c>
      <c r="G553" t="s">
        <v>94</v>
      </c>
      <c r="H553">
        <v>562</v>
      </c>
      <c r="I553">
        <v>3081.37</v>
      </c>
      <c r="J553">
        <v>373.27</v>
      </c>
      <c r="K553">
        <v>12.11</v>
      </c>
      <c r="L553">
        <v>316.77</v>
      </c>
      <c r="M553">
        <v>10.28</v>
      </c>
      <c r="N553">
        <v>5.48</v>
      </c>
      <c r="O553">
        <v>11.4</v>
      </c>
      <c r="P553">
        <v>0</v>
      </c>
      <c r="Q553">
        <v>63</v>
      </c>
      <c r="R553">
        <v>74.58</v>
      </c>
      <c r="S553">
        <v>55000</v>
      </c>
      <c r="T553">
        <v>5005000</v>
      </c>
    </row>
    <row r="554" spans="1:20" x14ac:dyDescent="0.25">
      <c r="A554" t="s">
        <v>27</v>
      </c>
      <c r="B554" t="s">
        <v>28</v>
      </c>
      <c r="C554" t="s">
        <v>22</v>
      </c>
      <c r="D554" t="s">
        <v>125</v>
      </c>
      <c r="E554" t="s">
        <v>126</v>
      </c>
      <c r="F554" t="s">
        <v>118</v>
      </c>
      <c r="G554" t="s">
        <v>94</v>
      </c>
      <c r="H554">
        <v>562</v>
      </c>
      <c r="I554">
        <v>3102.38</v>
      </c>
      <c r="J554">
        <v>367.07</v>
      </c>
      <c r="K554">
        <v>11.83</v>
      </c>
      <c r="L554">
        <v>138.93</v>
      </c>
      <c r="M554">
        <v>4.4800000000000004</v>
      </c>
      <c r="N554">
        <v>4.92</v>
      </c>
      <c r="O554">
        <v>33.299999999999997</v>
      </c>
      <c r="P554">
        <v>0</v>
      </c>
      <c r="Q554">
        <v>64.790000000000006</v>
      </c>
      <c r="R554">
        <v>73.34</v>
      </c>
      <c r="S554">
        <v>55000</v>
      </c>
      <c r="T554">
        <v>5005000</v>
      </c>
    </row>
    <row r="555" spans="1:20" x14ac:dyDescent="0.25">
      <c r="A555" t="s">
        <v>29</v>
      </c>
      <c r="B555" t="s">
        <v>30</v>
      </c>
      <c r="C555" t="s">
        <v>22</v>
      </c>
      <c r="D555" t="s">
        <v>125</v>
      </c>
      <c r="E555" t="s">
        <v>126</v>
      </c>
      <c r="F555" t="s">
        <v>118</v>
      </c>
      <c r="G555" t="s">
        <v>94</v>
      </c>
      <c r="H555">
        <v>562</v>
      </c>
      <c r="I555">
        <v>3432.69</v>
      </c>
      <c r="J555">
        <v>355.91</v>
      </c>
      <c r="K555">
        <v>10.37</v>
      </c>
      <c r="L555">
        <v>446.74</v>
      </c>
      <c r="M555">
        <v>13.01</v>
      </c>
      <c r="N555">
        <v>5.69</v>
      </c>
      <c r="O555">
        <v>30.4</v>
      </c>
      <c r="P555">
        <v>0</v>
      </c>
      <c r="Q555">
        <v>60.46</v>
      </c>
      <c r="R555">
        <v>71.11</v>
      </c>
      <c r="S555">
        <v>55000</v>
      </c>
      <c r="T555">
        <v>5005000</v>
      </c>
    </row>
    <row r="556" spans="1:20" x14ac:dyDescent="0.25">
      <c r="A556" t="s">
        <v>31</v>
      </c>
      <c r="B556" t="s">
        <v>32</v>
      </c>
      <c r="C556" t="s">
        <v>22</v>
      </c>
      <c r="D556" t="s">
        <v>125</v>
      </c>
      <c r="E556" t="s">
        <v>126</v>
      </c>
      <c r="F556" t="s">
        <v>118</v>
      </c>
      <c r="G556" t="s">
        <v>94</v>
      </c>
      <c r="H556">
        <v>562</v>
      </c>
      <c r="I556">
        <v>3384.05</v>
      </c>
      <c r="J556">
        <v>385.23</v>
      </c>
      <c r="K556">
        <v>11.38</v>
      </c>
      <c r="L556">
        <v>410.31</v>
      </c>
      <c r="M556">
        <v>12.12</v>
      </c>
      <c r="N556">
        <v>5.26</v>
      </c>
      <c r="O556">
        <v>12.5</v>
      </c>
      <c r="P556">
        <v>0</v>
      </c>
      <c r="Q556">
        <v>65.66</v>
      </c>
      <c r="R556">
        <v>76.97</v>
      </c>
      <c r="S556">
        <v>55000</v>
      </c>
      <c r="T556">
        <v>5005000</v>
      </c>
    </row>
    <row r="557" spans="1:20" x14ac:dyDescent="0.25">
      <c r="A557" t="s">
        <v>33</v>
      </c>
      <c r="B557" t="s">
        <v>34</v>
      </c>
      <c r="C557" t="s">
        <v>22</v>
      </c>
      <c r="D557" t="s">
        <v>125</v>
      </c>
      <c r="E557" t="s">
        <v>126</v>
      </c>
      <c r="F557" t="s">
        <v>118</v>
      </c>
      <c r="G557" t="s">
        <v>94</v>
      </c>
      <c r="H557">
        <v>562</v>
      </c>
      <c r="I557">
        <v>3430.6</v>
      </c>
      <c r="J557">
        <v>377.28</v>
      </c>
      <c r="K557">
        <v>11</v>
      </c>
      <c r="L557">
        <v>391.06</v>
      </c>
      <c r="M557">
        <v>11.4</v>
      </c>
      <c r="N557">
        <v>6.24</v>
      </c>
      <c r="O557">
        <v>23</v>
      </c>
      <c r="P557">
        <v>0</v>
      </c>
      <c r="Q557">
        <v>66.66</v>
      </c>
      <c r="R557">
        <v>75.38</v>
      </c>
      <c r="S557">
        <v>55000</v>
      </c>
      <c r="T557">
        <v>5005000</v>
      </c>
    </row>
    <row r="558" spans="1:20" x14ac:dyDescent="0.25">
      <c r="A558" t="s">
        <v>35</v>
      </c>
      <c r="B558" t="s">
        <v>36</v>
      </c>
      <c r="C558" t="s">
        <v>37</v>
      </c>
      <c r="D558" t="s">
        <v>125</v>
      </c>
      <c r="E558" t="s">
        <v>126</v>
      </c>
      <c r="F558" t="s">
        <v>118</v>
      </c>
      <c r="G558" t="s">
        <v>94</v>
      </c>
      <c r="H558">
        <v>562</v>
      </c>
      <c r="I558">
        <v>731.56</v>
      </c>
      <c r="J558">
        <v>118.57</v>
      </c>
      <c r="K558">
        <v>16.21</v>
      </c>
      <c r="L558">
        <v>-210.1</v>
      </c>
      <c r="M558">
        <v>-28.72</v>
      </c>
      <c r="N558">
        <v>1.24</v>
      </c>
      <c r="O558">
        <v>18.100000000000001</v>
      </c>
      <c r="P558">
        <v>0</v>
      </c>
      <c r="Q558">
        <v>20.57</v>
      </c>
      <c r="R558">
        <v>23.69</v>
      </c>
      <c r="S558">
        <v>55000</v>
      </c>
      <c r="T558">
        <v>5005000</v>
      </c>
    </row>
    <row r="559" spans="1:20" x14ac:dyDescent="0.25">
      <c r="A559" t="s">
        <v>38</v>
      </c>
      <c r="B559" t="s">
        <v>39</v>
      </c>
      <c r="C559" t="s">
        <v>37</v>
      </c>
      <c r="D559" t="s">
        <v>125</v>
      </c>
      <c r="E559" t="s">
        <v>126</v>
      </c>
      <c r="F559" t="s">
        <v>118</v>
      </c>
      <c r="G559" t="s">
        <v>94</v>
      </c>
      <c r="H559">
        <v>562</v>
      </c>
      <c r="I559">
        <v>702.64</v>
      </c>
      <c r="J559">
        <v>252.4</v>
      </c>
      <c r="K559">
        <v>35.92</v>
      </c>
      <c r="L559">
        <v>-288.45</v>
      </c>
      <c r="M559">
        <v>-41.05</v>
      </c>
      <c r="N559">
        <v>1.2</v>
      </c>
      <c r="O559">
        <v>23.2</v>
      </c>
      <c r="P559">
        <v>0</v>
      </c>
      <c r="Q559">
        <v>44.05</v>
      </c>
      <c r="R559">
        <v>50.43</v>
      </c>
      <c r="S559">
        <v>55000</v>
      </c>
      <c r="T559">
        <v>5005000</v>
      </c>
    </row>
    <row r="560" spans="1:20" x14ac:dyDescent="0.25">
      <c r="A560" t="s">
        <v>40</v>
      </c>
      <c r="B560" t="s">
        <v>41</v>
      </c>
      <c r="C560" t="s">
        <v>37</v>
      </c>
      <c r="D560" t="s">
        <v>125</v>
      </c>
      <c r="E560" t="s">
        <v>126</v>
      </c>
      <c r="F560" t="s">
        <v>118</v>
      </c>
      <c r="G560" t="s">
        <v>94</v>
      </c>
      <c r="H560">
        <v>562</v>
      </c>
      <c r="I560">
        <v>858.09</v>
      </c>
      <c r="J560">
        <v>228.53</v>
      </c>
      <c r="K560">
        <v>26.63</v>
      </c>
      <c r="L560">
        <v>-361.21</v>
      </c>
      <c r="M560">
        <v>-42.09</v>
      </c>
      <c r="N560">
        <v>1.58</v>
      </c>
      <c r="O560">
        <v>31</v>
      </c>
      <c r="P560">
        <v>0</v>
      </c>
      <c r="Q560">
        <v>39.950000000000003</v>
      </c>
      <c r="R560">
        <v>45.66</v>
      </c>
      <c r="S560">
        <v>55000</v>
      </c>
      <c r="T560">
        <v>5005000</v>
      </c>
    </row>
    <row r="561" spans="1:20" x14ac:dyDescent="0.25">
      <c r="A561" t="s">
        <v>42</v>
      </c>
      <c r="B561" t="s">
        <v>43</v>
      </c>
      <c r="C561" t="s">
        <v>37</v>
      </c>
      <c r="D561" t="s">
        <v>125</v>
      </c>
      <c r="E561" t="s">
        <v>126</v>
      </c>
      <c r="F561" t="s">
        <v>118</v>
      </c>
      <c r="G561" t="s">
        <v>94</v>
      </c>
      <c r="H561">
        <v>562</v>
      </c>
      <c r="I561">
        <v>563.82000000000005</v>
      </c>
      <c r="J561">
        <v>429.28</v>
      </c>
      <c r="K561">
        <v>76.14</v>
      </c>
      <c r="L561">
        <v>-242.53</v>
      </c>
      <c r="M561">
        <v>-43.02</v>
      </c>
      <c r="N561">
        <v>0.99</v>
      </c>
      <c r="O561">
        <v>17</v>
      </c>
      <c r="P561">
        <v>0</v>
      </c>
      <c r="Q561">
        <v>75.489999999999995</v>
      </c>
      <c r="R561">
        <v>85.77</v>
      </c>
      <c r="S561">
        <v>55000</v>
      </c>
      <c r="T561">
        <v>5005000</v>
      </c>
    </row>
    <row r="562" spans="1:20" x14ac:dyDescent="0.25">
      <c r="A562" t="s">
        <v>44</v>
      </c>
      <c r="B562" t="s">
        <v>45</v>
      </c>
      <c r="C562" t="s">
        <v>37</v>
      </c>
      <c r="D562" t="s">
        <v>125</v>
      </c>
      <c r="E562" t="s">
        <v>126</v>
      </c>
      <c r="F562" t="s">
        <v>118</v>
      </c>
      <c r="G562" t="s">
        <v>94</v>
      </c>
      <c r="H562">
        <v>562</v>
      </c>
      <c r="I562">
        <v>684.19</v>
      </c>
      <c r="J562">
        <v>455.05</v>
      </c>
      <c r="K562">
        <v>66.510000000000005</v>
      </c>
      <c r="L562">
        <v>-164.21</v>
      </c>
      <c r="M562">
        <v>-24</v>
      </c>
      <c r="N562">
        <v>1.1299999999999999</v>
      </c>
      <c r="O562">
        <v>27.1</v>
      </c>
      <c r="P562">
        <v>1.26</v>
      </c>
      <c r="Q562">
        <v>76.83</v>
      </c>
      <c r="R562">
        <v>90.92</v>
      </c>
      <c r="S562">
        <v>55000</v>
      </c>
      <c r="T562">
        <v>5005000</v>
      </c>
    </row>
    <row r="563" spans="1:20" x14ac:dyDescent="0.25">
      <c r="A563" t="s">
        <v>46</v>
      </c>
      <c r="B563" t="s">
        <v>47</v>
      </c>
      <c r="C563" t="s">
        <v>48</v>
      </c>
      <c r="D563" t="s">
        <v>125</v>
      </c>
      <c r="E563" t="s">
        <v>126</v>
      </c>
      <c r="F563" t="s">
        <v>118</v>
      </c>
      <c r="G563" t="s">
        <v>94</v>
      </c>
      <c r="H563">
        <v>562</v>
      </c>
      <c r="I563">
        <v>2423.73</v>
      </c>
      <c r="J563">
        <v>450.05</v>
      </c>
      <c r="K563">
        <v>18.57</v>
      </c>
      <c r="L563">
        <v>-38.33</v>
      </c>
      <c r="M563">
        <v>-1.58</v>
      </c>
      <c r="N563">
        <v>3.99</v>
      </c>
      <c r="O563">
        <v>38</v>
      </c>
      <c r="P563">
        <v>0</v>
      </c>
      <c r="Q563">
        <v>78.97</v>
      </c>
      <c r="R563">
        <v>89.92</v>
      </c>
      <c r="S563">
        <v>55000</v>
      </c>
      <c r="T563">
        <v>5005000</v>
      </c>
    </row>
    <row r="564" spans="1:20" x14ac:dyDescent="0.25">
      <c r="A564" t="s">
        <v>49</v>
      </c>
      <c r="B564" t="s">
        <v>50</v>
      </c>
      <c r="C564" t="s">
        <v>48</v>
      </c>
      <c r="D564" t="s">
        <v>125</v>
      </c>
      <c r="E564" t="s">
        <v>126</v>
      </c>
      <c r="F564" t="s">
        <v>118</v>
      </c>
      <c r="G564" t="s">
        <v>94</v>
      </c>
      <c r="H564">
        <v>562</v>
      </c>
      <c r="I564">
        <v>2292.08</v>
      </c>
      <c r="J564">
        <v>521.77</v>
      </c>
      <c r="K564">
        <v>22.76</v>
      </c>
      <c r="L564">
        <v>119.01</v>
      </c>
      <c r="M564">
        <v>5.19</v>
      </c>
      <c r="N564">
        <v>4.1900000000000004</v>
      </c>
      <c r="O564">
        <v>7.5</v>
      </c>
      <c r="P564">
        <v>6.2</v>
      </c>
      <c r="Q564">
        <v>86.82</v>
      </c>
      <c r="R564">
        <v>104.25</v>
      </c>
      <c r="S564">
        <v>55000</v>
      </c>
      <c r="T564">
        <v>5005000</v>
      </c>
    </row>
    <row r="565" spans="1:20" x14ac:dyDescent="0.25">
      <c r="A565" t="s">
        <v>51</v>
      </c>
      <c r="B565" t="s">
        <v>52</v>
      </c>
      <c r="C565" t="s">
        <v>48</v>
      </c>
      <c r="D565" t="s">
        <v>125</v>
      </c>
      <c r="E565" t="s">
        <v>126</v>
      </c>
      <c r="F565" t="s">
        <v>118</v>
      </c>
      <c r="G565" t="s">
        <v>94</v>
      </c>
      <c r="H565">
        <v>562</v>
      </c>
      <c r="I565">
        <v>2504.39</v>
      </c>
      <c r="J565">
        <v>407.61</v>
      </c>
      <c r="K565">
        <v>16.28</v>
      </c>
      <c r="L565">
        <v>118.72</v>
      </c>
      <c r="M565">
        <v>4.74</v>
      </c>
      <c r="N565">
        <v>4.21</v>
      </c>
      <c r="O565">
        <v>24.9</v>
      </c>
      <c r="P565">
        <v>0</v>
      </c>
      <c r="Q565">
        <v>72.010000000000005</v>
      </c>
      <c r="R565">
        <v>81.44</v>
      </c>
      <c r="S565">
        <v>55000</v>
      </c>
      <c r="T565">
        <v>5005000</v>
      </c>
    </row>
    <row r="566" spans="1:20" x14ac:dyDescent="0.25">
      <c r="A566" t="s">
        <v>53</v>
      </c>
      <c r="B566" t="s">
        <v>54</v>
      </c>
      <c r="C566" t="s">
        <v>55</v>
      </c>
      <c r="D566" t="s">
        <v>125</v>
      </c>
      <c r="E566" t="s">
        <v>126</v>
      </c>
      <c r="F566" t="s">
        <v>118</v>
      </c>
      <c r="G566" t="s">
        <v>94</v>
      </c>
      <c r="H566">
        <v>562</v>
      </c>
      <c r="I566">
        <v>2983.56</v>
      </c>
      <c r="J566">
        <v>658.81</v>
      </c>
      <c r="K566">
        <v>22.08</v>
      </c>
      <c r="L566">
        <v>135.69</v>
      </c>
      <c r="M566">
        <v>4.55</v>
      </c>
      <c r="N566">
        <v>5.29</v>
      </c>
      <c r="O566">
        <v>26.1</v>
      </c>
      <c r="P566">
        <v>79.540000000000006</v>
      </c>
      <c r="Q566">
        <v>109.53</v>
      </c>
      <c r="R566">
        <v>131.63</v>
      </c>
      <c r="S566">
        <v>55000</v>
      </c>
      <c r="T566">
        <v>5005000</v>
      </c>
    </row>
    <row r="567" spans="1:20" x14ac:dyDescent="0.25">
      <c r="A567" t="s">
        <v>56</v>
      </c>
      <c r="B567" t="s">
        <v>57</v>
      </c>
      <c r="C567" t="s">
        <v>55</v>
      </c>
      <c r="D567" t="s">
        <v>125</v>
      </c>
      <c r="E567" t="s">
        <v>126</v>
      </c>
      <c r="F567" t="s">
        <v>118</v>
      </c>
      <c r="G567" t="s">
        <v>94</v>
      </c>
      <c r="H567">
        <v>562</v>
      </c>
      <c r="I567">
        <v>2967.29</v>
      </c>
      <c r="J567">
        <v>472.92</v>
      </c>
      <c r="K567">
        <v>15.94</v>
      </c>
      <c r="L567">
        <v>293.89</v>
      </c>
      <c r="M567">
        <v>9.9</v>
      </c>
      <c r="N567">
        <v>5.5</v>
      </c>
      <c r="O567">
        <v>12.8</v>
      </c>
      <c r="P567">
        <v>3.02</v>
      </c>
      <c r="Q567">
        <v>80.69</v>
      </c>
      <c r="R567">
        <v>94.49</v>
      </c>
      <c r="S567">
        <v>55000</v>
      </c>
      <c r="T567">
        <v>5005000</v>
      </c>
    </row>
    <row r="568" spans="1:20" x14ac:dyDescent="0.25">
      <c r="A568" t="s">
        <v>58</v>
      </c>
      <c r="B568" t="s">
        <v>59</v>
      </c>
      <c r="C568" t="s">
        <v>55</v>
      </c>
      <c r="D568" t="s">
        <v>125</v>
      </c>
      <c r="E568" t="s">
        <v>126</v>
      </c>
      <c r="F568" t="s">
        <v>118</v>
      </c>
      <c r="G568" t="s">
        <v>94</v>
      </c>
      <c r="H568">
        <v>562</v>
      </c>
      <c r="I568">
        <v>3440.08</v>
      </c>
      <c r="J568">
        <v>528.33000000000004</v>
      </c>
      <c r="K568">
        <v>15.36</v>
      </c>
      <c r="L568">
        <v>142.33000000000001</v>
      </c>
      <c r="M568">
        <v>4.1399999999999997</v>
      </c>
      <c r="N568">
        <v>5.94</v>
      </c>
      <c r="O568">
        <v>32.4</v>
      </c>
      <c r="P568">
        <v>29.59</v>
      </c>
      <c r="Q568">
        <v>93.25</v>
      </c>
      <c r="R568">
        <v>105.56</v>
      </c>
      <c r="S568">
        <v>55000</v>
      </c>
      <c r="T568">
        <v>5005000</v>
      </c>
    </row>
    <row r="569" spans="1:20" x14ac:dyDescent="0.25">
      <c r="A569" t="s">
        <v>60</v>
      </c>
      <c r="B569" t="s">
        <v>61</v>
      </c>
      <c r="C569" t="s">
        <v>62</v>
      </c>
      <c r="D569" t="s">
        <v>125</v>
      </c>
      <c r="E569" t="s">
        <v>126</v>
      </c>
      <c r="F569" t="s">
        <v>118</v>
      </c>
      <c r="G569" t="s">
        <v>94</v>
      </c>
      <c r="H569">
        <v>562</v>
      </c>
      <c r="I569">
        <v>3183.14</v>
      </c>
      <c r="J569">
        <v>486.14</v>
      </c>
      <c r="K569">
        <v>15.27</v>
      </c>
      <c r="L569">
        <v>304.04000000000002</v>
      </c>
      <c r="M569">
        <v>9.5500000000000007</v>
      </c>
      <c r="N569">
        <v>5.37</v>
      </c>
      <c r="O569">
        <v>31.6</v>
      </c>
      <c r="P569">
        <v>12.17</v>
      </c>
      <c r="Q569">
        <v>84.29</v>
      </c>
      <c r="R569">
        <v>97.13</v>
      </c>
      <c r="S569">
        <v>55000</v>
      </c>
      <c r="T569">
        <v>5005000</v>
      </c>
    </row>
    <row r="570" spans="1:20" x14ac:dyDescent="0.25">
      <c r="A570" t="s">
        <v>63</v>
      </c>
      <c r="B570" t="s">
        <v>64</v>
      </c>
      <c r="C570" t="s">
        <v>62</v>
      </c>
      <c r="D570" t="s">
        <v>125</v>
      </c>
      <c r="E570" t="s">
        <v>126</v>
      </c>
      <c r="F570" t="s">
        <v>118</v>
      </c>
      <c r="G570" t="s">
        <v>94</v>
      </c>
      <c r="H570">
        <v>562</v>
      </c>
      <c r="I570">
        <v>3239.13</v>
      </c>
      <c r="J570">
        <v>510.36</v>
      </c>
      <c r="K570">
        <v>15.76</v>
      </c>
      <c r="L570">
        <v>313.2</v>
      </c>
      <c r="M570">
        <v>9.67</v>
      </c>
      <c r="N570">
        <v>5.9</v>
      </c>
      <c r="O570">
        <v>29.5</v>
      </c>
      <c r="P570">
        <v>20.02</v>
      </c>
      <c r="Q570">
        <v>88.18</v>
      </c>
      <c r="R570">
        <v>101.97</v>
      </c>
      <c r="S570">
        <v>55000</v>
      </c>
      <c r="T570">
        <v>5005000</v>
      </c>
    </row>
    <row r="571" spans="1:20" x14ac:dyDescent="0.25">
      <c r="A571" t="s">
        <v>65</v>
      </c>
      <c r="B571" t="s">
        <v>66</v>
      </c>
      <c r="C571" t="s">
        <v>62</v>
      </c>
      <c r="D571" t="s">
        <v>125</v>
      </c>
      <c r="E571" t="s">
        <v>126</v>
      </c>
      <c r="F571" t="s">
        <v>118</v>
      </c>
      <c r="G571" t="s">
        <v>94</v>
      </c>
      <c r="H571">
        <v>562</v>
      </c>
      <c r="I571">
        <v>3259.44</v>
      </c>
      <c r="J571">
        <v>488.09</v>
      </c>
      <c r="K571">
        <v>14.97</v>
      </c>
      <c r="L571">
        <v>280.73</v>
      </c>
      <c r="M571">
        <v>8.61</v>
      </c>
      <c r="N571">
        <v>5.14</v>
      </c>
      <c r="O571">
        <v>7</v>
      </c>
      <c r="P571">
        <v>2.85</v>
      </c>
      <c r="Q571">
        <v>85.16</v>
      </c>
      <c r="R571">
        <v>97.52</v>
      </c>
      <c r="S571">
        <v>55000</v>
      </c>
      <c r="T571">
        <v>5005000</v>
      </c>
    </row>
    <row r="572" spans="1:20" x14ac:dyDescent="0.25">
      <c r="A572" t="s">
        <v>67</v>
      </c>
      <c r="B572" t="s">
        <v>68</v>
      </c>
      <c r="C572" t="s">
        <v>69</v>
      </c>
      <c r="D572" t="s">
        <v>125</v>
      </c>
      <c r="E572" t="s">
        <v>126</v>
      </c>
      <c r="F572" t="s">
        <v>118</v>
      </c>
      <c r="G572" t="s">
        <v>94</v>
      </c>
      <c r="H572">
        <v>562</v>
      </c>
      <c r="I572">
        <v>3436.35</v>
      </c>
      <c r="J572">
        <v>450.25</v>
      </c>
      <c r="K572">
        <v>13.1</v>
      </c>
      <c r="L572">
        <v>201.55</v>
      </c>
      <c r="M572">
        <v>5.87</v>
      </c>
      <c r="N572">
        <v>5.59</v>
      </c>
      <c r="O572">
        <v>26.4</v>
      </c>
      <c r="P572">
        <v>0</v>
      </c>
      <c r="Q572">
        <v>78.33</v>
      </c>
      <c r="R572">
        <v>89.96</v>
      </c>
      <c r="S572">
        <v>55000</v>
      </c>
      <c r="T572">
        <v>5005000</v>
      </c>
    </row>
    <row r="573" spans="1:20" x14ac:dyDescent="0.25">
      <c r="A573" t="s">
        <v>70</v>
      </c>
      <c r="B573" t="s">
        <v>71</v>
      </c>
      <c r="C573" t="s">
        <v>69</v>
      </c>
      <c r="D573" t="s">
        <v>125</v>
      </c>
      <c r="E573" t="s">
        <v>126</v>
      </c>
      <c r="F573" t="s">
        <v>118</v>
      </c>
      <c r="G573" t="s">
        <v>94</v>
      </c>
      <c r="H573">
        <v>562</v>
      </c>
      <c r="I573">
        <v>3384.42</v>
      </c>
      <c r="J573">
        <v>495.6</v>
      </c>
      <c r="K573">
        <v>14.64</v>
      </c>
      <c r="L573">
        <v>417.35</v>
      </c>
      <c r="M573">
        <v>12.33</v>
      </c>
      <c r="N573">
        <v>6.15</v>
      </c>
      <c r="O573">
        <v>39.200000000000003</v>
      </c>
      <c r="P573">
        <v>19.47</v>
      </c>
      <c r="Q573">
        <v>84.61</v>
      </c>
      <c r="R573">
        <v>99.02</v>
      </c>
      <c r="S573">
        <v>55000</v>
      </c>
      <c r="T573">
        <v>5005000</v>
      </c>
    </row>
    <row r="574" spans="1:20" x14ac:dyDescent="0.25">
      <c r="A574" t="s">
        <v>72</v>
      </c>
      <c r="B574" t="s">
        <v>73</v>
      </c>
      <c r="C574" t="s">
        <v>69</v>
      </c>
      <c r="D574" t="s">
        <v>125</v>
      </c>
      <c r="E574" t="s">
        <v>126</v>
      </c>
      <c r="F574" t="s">
        <v>118</v>
      </c>
      <c r="G574" t="s">
        <v>94</v>
      </c>
      <c r="H574">
        <v>562</v>
      </c>
      <c r="I574">
        <v>3063.17</v>
      </c>
      <c r="J574">
        <v>509.41</v>
      </c>
      <c r="K574">
        <v>16.63</v>
      </c>
      <c r="L574">
        <v>245.01</v>
      </c>
      <c r="M574">
        <v>8</v>
      </c>
      <c r="N574">
        <v>5.65</v>
      </c>
      <c r="O574">
        <v>21.4</v>
      </c>
      <c r="P574">
        <v>14.27</v>
      </c>
      <c r="Q574">
        <v>84.06</v>
      </c>
      <c r="R574">
        <v>101.78</v>
      </c>
      <c r="S574">
        <v>55000</v>
      </c>
      <c r="T574">
        <v>5005000</v>
      </c>
    </row>
    <row r="575" spans="1:20" x14ac:dyDescent="0.25">
      <c r="A575" t="s">
        <v>74</v>
      </c>
      <c r="B575" t="s">
        <v>75</v>
      </c>
      <c r="C575" t="s">
        <v>69</v>
      </c>
      <c r="D575" t="s">
        <v>125</v>
      </c>
      <c r="E575" t="s">
        <v>126</v>
      </c>
      <c r="F575" t="s">
        <v>118</v>
      </c>
      <c r="G575" t="s">
        <v>94</v>
      </c>
      <c r="H575">
        <v>562</v>
      </c>
      <c r="I575">
        <v>3402.46</v>
      </c>
      <c r="J575">
        <v>470.37</v>
      </c>
      <c r="K575">
        <v>13.82</v>
      </c>
      <c r="L575">
        <v>142.11000000000001</v>
      </c>
      <c r="M575">
        <v>4.18</v>
      </c>
      <c r="N575">
        <v>5.8</v>
      </c>
      <c r="O575">
        <v>37.299999999999997</v>
      </c>
      <c r="P575">
        <v>7.76</v>
      </c>
      <c r="Q575">
        <v>80.400000000000006</v>
      </c>
      <c r="R575">
        <v>93.98</v>
      </c>
      <c r="S575">
        <v>55000</v>
      </c>
      <c r="T575">
        <v>5005000</v>
      </c>
    </row>
    <row r="576" spans="1:20" x14ac:dyDescent="0.25">
      <c r="A576" t="s">
        <v>76</v>
      </c>
      <c r="B576" t="s">
        <v>77</v>
      </c>
      <c r="C576" t="s">
        <v>69</v>
      </c>
      <c r="D576" t="s">
        <v>125</v>
      </c>
      <c r="E576" t="s">
        <v>126</v>
      </c>
      <c r="F576" t="s">
        <v>118</v>
      </c>
      <c r="G576" t="s">
        <v>94</v>
      </c>
      <c r="H576">
        <v>562</v>
      </c>
      <c r="I576">
        <v>3148.69</v>
      </c>
      <c r="J576">
        <v>563.16</v>
      </c>
      <c r="K576">
        <v>17.89</v>
      </c>
      <c r="L576">
        <v>418.67</v>
      </c>
      <c r="M576">
        <v>13.3</v>
      </c>
      <c r="N576">
        <v>4.84</v>
      </c>
      <c r="O576">
        <v>7.8</v>
      </c>
      <c r="P576">
        <v>10.99</v>
      </c>
      <c r="Q576">
        <v>94.78</v>
      </c>
      <c r="R576">
        <v>112.52</v>
      </c>
      <c r="S576">
        <v>55000</v>
      </c>
      <c r="T576">
        <v>5005000</v>
      </c>
    </row>
    <row r="577" spans="1:20" x14ac:dyDescent="0.25">
      <c r="A577" t="s">
        <v>78</v>
      </c>
      <c r="B577" t="s">
        <v>79</v>
      </c>
      <c r="C577" t="s">
        <v>80</v>
      </c>
      <c r="D577" t="s">
        <v>125</v>
      </c>
      <c r="E577" t="s">
        <v>126</v>
      </c>
      <c r="F577" t="s">
        <v>118</v>
      </c>
      <c r="G577" t="s">
        <v>94</v>
      </c>
      <c r="H577">
        <v>562</v>
      </c>
      <c r="I577">
        <v>3238.36</v>
      </c>
      <c r="J577">
        <v>508.21</v>
      </c>
      <c r="K577">
        <v>15.69</v>
      </c>
      <c r="L577">
        <v>163.98</v>
      </c>
      <c r="M577">
        <v>5.0599999999999996</v>
      </c>
      <c r="N577">
        <v>5.21</v>
      </c>
      <c r="O577">
        <v>15.4</v>
      </c>
      <c r="P577">
        <v>10.039999999999999</v>
      </c>
      <c r="Q577">
        <v>85.13</v>
      </c>
      <c r="R577">
        <v>101.54</v>
      </c>
      <c r="S577">
        <v>55000</v>
      </c>
      <c r="T577">
        <v>5005000</v>
      </c>
    </row>
    <row r="578" spans="1:20" x14ac:dyDescent="0.25">
      <c r="A578" t="s">
        <v>81</v>
      </c>
      <c r="B578" t="s">
        <v>82</v>
      </c>
      <c r="C578" t="s">
        <v>80</v>
      </c>
      <c r="D578" t="s">
        <v>125</v>
      </c>
      <c r="E578" t="s">
        <v>126</v>
      </c>
      <c r="F578" t="s">
        <v>118</v>
      </c>
      <c r="G578" t="s">
        <v>94</v>
      </c>
      <c r="H578">
        <v>562</v>
      </c>
      <c r="I578">
        <v>3240.3</v>
      </c>
      <c r="J578">
        <v>602.75</v>
      </c>
      <c r="K578">
        <v>18.600000000000001</v>
      </c>
      <c r="L578">
        <v>256.14999999999998</v>
      </c>
      <c r="M578">
        <v>7.91</v>
      </c>
      <c r="N578">
        <v>5.99</v>
      </c>
      <c r="O578">
        <v>36</v>
      </c>
      <c r="P578">
        <v>73.37</v>
      </c>
      <c r="Q578">
        <v>101.77</v>
      </c>
      <c r="R578">
        <v>120.43</v>
      </c>
      <c r="S578">
        <v>55000</v>
      </c>
      <c r="T578">
        <v>5005000</v>
      </c>
    </row>
    <row r="579" spans="1:20" x14ac:dyDescent="0.25">
      <c r="A579" t="s">
        <v>83</v>
      </c>
      <c r="B579" t="s">
        <v>84</v>
      </c>
      <c r="C579" t="s">
        <v>80</v>
      </c>
      <c r="D579" t="s">
        <v>125</v>
      </c>
      <c r="E579" t="s">
        <v>126</v>
      </c>
      <c r="F579" t="s">
        <v>118</v>
      </c>
      <c r="G579" t="s">
        <v>94</v>
      </c>
      <c r="H579">
        <v>562</v>
      </c>
      <c r="I579">
        <v>3351.2</v>
      </c>
      <c r="J579">
        <v>561.66</v>
      </c>
      <c r="K579">
        <v>16.760000000000002</v>
      </c>
      <c r="L579">
        <v>355</v>
      </c>
      <c r="M579">
        <v>10.59</v>
      </c>
      <c r="N579">
        <v>5.37</v>
      </c>
      <c r="O579">
        <v>26.1</v>
      </c>
      <c r="P579">
        <v>36.19</v>
      </c>
      <c r="Q579">
        <v>93.24</v>
      </c>
      <c r="R579">
        <v>112.22</v>
      </c>
      <c r="S579">
        <v>55000</v>
      </c>
      <c r="T579">
        <v>5005000</v>
      </c>
    </row>
    <row r="580" spans="1:20" x14ac:dyDescent="0.25">
      <c r="A580" t="s">
        <v>85</v>
      </c>
      <c r="B580" t="s">
        <v>86</v>
      </c>
      <c r="C580" t="s">
        <v>80</v>
      </c>
      <c r="D580" t="s">
        <v>125</v>
      </c>
      <c r="E580" t="s">
        <v>126</v>
      </c>
      <c r="F580" t="s">
        <v>118</v>
      </c>
      <c r="G580" t="s">
        <v>94</v>
      </c>
      <c r="H580">
        <v>562</v>
      </c>
      <c r="I580">
        <v>3101.18</v>
      </c>
      <c r="J580">
        <v>558.91</v>
      </c>
      <c r="K580">
        <v>18.02</v>
      </c>
      <c r="L580">
        <v>264.44</v>
      </c>
      <c r="M580">
        <v>8.5299999999999994</v>
      </c>
      <c r="N580">
        <v>5.24</v>
      </c>
      <c r="O580">
        <v>29.1</v>
      </c>
      <c r="P580">
        <v>39.159999999999997</v>
      </c>
      <c r="Q580">
        <v>99.34</v>
      </c>
      <c r="R580">
        <v>111.67</v>
      </c>
      <c r="S580">
        <v>55000</v>
      </c>
      <c r="T580">
        <v>5005000</v>
      </c>
    </row>
    <row r="581" spans="1:20" x14ac:dyDescent="0.25">
      <c r="A581" t="s">
        <v>87</v>
      </c>
      <c r="B581" t="s">
        <v>88</v>
      </c>
      <c r="C581" t="s">
        <v>89</v>
      </c>
      <c r="D581" t="s">
        <v>125</v>
      </c>
      <c r="E581" t="s">
        <v>126</v>
      </c>
      <c r="F581" t="s">
        <v>118</v>
      </c>
      <c r="G581" t="s">
        <v>94</v>
      </c>
      <c r="H581">
        <v>562</v>
      </c>
      <c r="I581">
        <v>2774.48</v>
      </c>
      <c r="J581">
        <v>734.73</v>
      </c>
      <c r="K581">
        <v>26.48</v>
      </c>
      <c r="L581">
        <v>-515.77</v>
      </c>
      <c r="M581">
        <v>-18.59</v>
      </c>
      <c r="N581">
        <v>4.29</v>
      </c>
      <c r="O581">
        <v>6.6</v>
      </c>
      <c r="P581">
        <v>30.6</v>
      </c>
      <c r="Q581">
        <v>130.88</v>
      </c>
      <c r="R581">
        <v>146.80000000000001</v>
      </c>
      <c r="S581">
        <v>55000</v>
      </c>
      <c r="T581">
        <v>5005000</v>
      </c>
    </row>
    <row r="582" spans="1:20" x14ac:dyDescent="0.25">
      <c r="A582" t="s">
        <v>20</v>
      </c>
      <c r="B582" t="s">
        <v>21</v>
      </c>
      <c r="C582" t="s">
        <v>22</v>
      </c>
      <c r="D582" t="s">
        <v>127</v>
      </c>
      <c r="E582" t="s">
        <v>128</v>
      </c>
      <c r="F582" t="s">
        <v>129</v>
      </c>
      <c r="G582" t="s">
        <v>26</v>
      </c>
      <c r="H582">
        <v>958</v>
      </c>
      <c r="I582">
        <v>14041.2</v>
      </c>
      <c r="J582">
        <v>814.41</v>
      </c>
      <c r="K582">
        <v>5.8</v>
      </c>
      <c r="L582">
        <v>1244.51</v>
      </c>
      <c r="M582">
        <v>8.86</v>
      </c>
      <c r="N582">
        <v>9.39</v>
      </c>
      <c r="O582">
        <v>2.1</v>
      </c>
      <c r="P582">
        <v>0</v>
      </c>
      <c r="Q582">
        <v>63</v>
      </c>
      <c r="R582">
        <v>74.58</v>
      </c>
      <c r="S582">
        <v>120000</v>
      </c>
      <c r="T582">
        <v>10920000</v>
      </c>
    </row>
    <row r="583" spans="1:20" x14ac:dyDescent="0.25">
      <c r="A583" t="s">
        <v>27</v>
      </c>
      <c r="B583" t="s">
        <v>28</v>
      </c>
      <c r="C583" t="s">
        <v>22</v>
      </c>
      <c r="D583" t="s">
        <v>127</v>
      </c>
      <c r="E583" t="s">
        <v>128</v>
      </c>
      <c r="F583" t="s">
        <v>129</v>
      </c>
      <c r="G583" t="s">
        <v>26</v>
      </c>
      <c r="H583">
        <v>958</v>
      </c>
      <c r="I583">
        <v>13447.36</v>
      </c>
      <c r="J583">
        <v>800.87</v>
      </c>
      <c r="K583">
        <v>5.96</v>
      </c>
      <c r="L583">
        <v>722.25</v>
      </c>
      <c r="M583">
        <v>5.37</v>
      </c>
      <c r="N583">
        <v>9.31</v>
      </c>
      <c r="O583">
        <v>33.5</v>
      </c>
      <c r="P583">
        <v>0</v>
      </c>
      <c r="Q583">
        <v>64.790000000000006</v>
      </c>
      <c r="R583">
        <v>73.34</v>
      </c>
      <c r="S583">
        <v>120000</v>
      </c>
      <c r="T583">
        <v>10920000</v>
      </c>
    </row>
    <row r="584" spans="1:20" x14ac:dyDescent="0.25">
      <c r="A584" t="s">
        <v>29</v>
      </c>
      <c r="B584" t="s">
        <v>30</v>
      </c>
      <c r="C584" t="s">
        <v>22</v>
      </c>
      <c r="D584" t="s">
        <v>127</v>
      </c>
      <c r="E584" t="s">
        <v>128</v>
      </c>
      <c r="F584" t="s">
        <v>129</v>
      </c>
      <c r="G584" t="s">
        <v>26</v>
      </c>
      <c r="H584">
        <v>958</v>
      </c>
      <c r="I584">
        <v>12933.31</v>
      </c>
      <c r="J584">
        <v>776.52</v>
      </c>
      <c r="K584">
        <v>6</v>
      </c>
      <c r="L584">
        <v>774.49</v>
      </c>
      <c r="M584">
        <v>5.99</v>
      </c>
      <c r="N584">
        <v>8.23</v>
      </c>
      <c r="O584">
        <v>38.1</v>
      </c>
      <c r="P584">
        <v>0</v>
      </c>
      <c r="Q584">
        <v>60.46</v>
      </c>
      <c r="R584">
        <v>71.11</v>
      </c>
      <c r="S584">
        <v>120000</v>
      </c>
      <c r="T584">
        <v>10920000</v>
      </c>
    </row>
    <row r="585" spans="1:20" x14ac:dyDescent="0.25">
      <c r="A585" t="s">
        <v>31</v>
      </c>
      <c r="B585" t="s">
        <v>32</v>
      </c>
      <c r="C585" t="s">
        <v>22</v>
      </c>
      <c r="D585" t="s">
        <v>127</v>
      </c>
      <c r="E585" t="s">
        <v>128</v>
      </c>
      <c r="F585" t="s">
        <v>129</v>
      </c>
      <c r="G585" t="s">
        <v>26</v>
      </c>
      <c r="H585">
        <v>958</v>
      </c>
      <c r="I585">
        <v>12883.96</v>
      </c>
      <c r="J585">
        <v>840.51</v>
      </c>
      <c r="K585">
        <v>6.52</v>
      </c>
      <c r="L585">
        <v>1646.86</v>
      </c>
      <c r="M585">
        <v>12.78</v>
      </c>
      <c r="N585">
        <v>9.26</v>
      </c>
      <c r="O585">
        <v>36.200000000000003</v>
      </c>
      <c r="P585">
        <v>0</v>
      </c>
      <c r="Q585">
        <v>65.66</v>
      </c>
      <c r="R585">
        <v>76.97</v>
      </c>
      <c r="S585">
        <v>120000</v>
      </c>
      <c r="T585">
        <v>10920000</v>
      </c>
    </row>
    <row r="586" spans="1:20" x14ac:dyDescent="0.25">
      <c r="A586" t="s">
        <v>33</v>
      </c>
      <c r="B586" t="s">
        <v>34</v>
      </c>
      <c r="C586" t="s">
        <v>22</v>
      </c>
      <c r="D586" t="s">
        <v>127</v>
      </c>
      <c r="E586" t="s">
        <v>128</v>
      </c>
      <c r="F586" t="s">
        <v>129</v>
      </c>
      <c r="G586" t="s">
        <v>26</v>
      </c>
      <c r="H586">
        <v>958</v>
      </c>
      <c r="I586">
        <v>13406.04</v>
      </c>
      <c r="J586">
        <v>823.15</v>
      </c>
      <c r="K586">
        <v>6.14</v>
      </c>
      <c r="L586">
        <v>824.89</v>
      </c>
      <c r="M586">
        <v>6.15</v>
      </c>
      <c r="N586">
        <v>10.32</v>
      </c>
      <c r="O586">
        <v>62.9</v>
      </c>
      <c r="P586">
        <v>0</v>
      </c>
      <c r="Q586">
        <v>66.66</v>
      </c>
      <c r="R586">
        <v>75.38</v>
      </c>
      <c r="S586">
        <v>120000</v>
      </c>
      <c r="T586">
        <v>10920000</v>
      </c>
    </row>
    <row r="587" spans="1:20" x14ac:dyDescent="0.25">
      <c r="A587" t="s">
        <v>35</v>
      </c>
      <c r="B587" t="s">
        <v>36</v>
      </c>
      <c r="C587" t="s">
        <v>37</v>
      </c>
      <c r="D587" t="s">
        <v>127</v>
      </c>
      <c r="E587" t="s">
        <v>128</v>
      </c>
      <c r="F587" t="s">
        <v>129</v>
      </c>
      <c r="G587" t="s">
        <v>26</v>
      </c>
      <c r="H587">
        <v>958</v>
      </c>
      <c r="I587">
        <v>2828.16</v>
      </c>
      <c r="J587">
        <v>258.69</v>
      </c>
      <c r="K587">
        <v>9.15</v>
      </c>
      <c r="L587">
        <v>-723.86</v>
      </c>
      <c r="M587">
        <v>-25.59</v>
      </c>
      <c r="N587">
        <v>1.84</v>
      </c>
      <c r="O587">
        <v>50.7</v>
      </c>
      <c r="P587">
        <v>0</v>
      </c>
      <c r="Q587">
        <v>20.57</v>
      </c>
      <c r="R587">
        <v>23.69</v>
      </c>
      <c r="S587">
        <v>120000</v>
      </c>
      <c r="T587">
        <v>10920000</v>
      </c>
    </row>
    <row r="588" spans="1:20" x14ac:dyDescent="0.25">
      <c r="A588" t="s">
        <v>38</v>
      </c>
      <c r="B588" t="s">
        <v>39</v>
      </c>
      <c r="C588" t="s">
        <v>37</v>
      </c>
      <c r="D588" t="s">
        <v>127</v>
      </c>
      <c r="E588" t="s">
        <v>128</v>
      </c>
      <c r="F588" t="s">
        <v>129</v>
      </c>
      <c r="G588" t="s">
        <v>26</v>
      </c>
      <c r="H588">
        <v>958</v>
      </c>
      <c r="I588">
        <v>2735.92</v>
      </c>
      <c r="J588">
        <v>550.70000000000005</v>
      </c>
      <c r="K588">
        <v>20.13</v>
      </c>
      <c r="L588">
        <v>-1033.4000000000001</v>
      </c>
      <c r="M588">
        <v>-37.770000000000003</v>
      </c>
      <c r="N588">
        <v>1.93</v>
      </c>
      <c r="O588">
        <v>25.5</v>
      </c>
      <c r="P588">
        <v>0</v>
      </c>
      <c r="Q588">
        <v>44.05</v>
      </c>
      <c r="R588">
        <v>50.43</v>
      </c>
      <c r="S588">
        <v>120000</v>
      </c>
      <c r="T588">
        <v>10920000</v>
      </c>
    </row>
    <row r="589" spans="1:20" x14ac:dyDescent="0.25">
      <c r="A589" t="s">
        <v>40</v>
      </c>
      <c r="B589" t="s">
        <v>41</v>
      </c>
      <c r="C589" t="s">
        <v>37</v>
      </c>
      <c r="D589" t="s">
        <v>127</v>
      </c>
      <c r="E589" t="s">
        <v>128</v>
      </c>
      <c r="F589" t="s">
        <v>129</v>
      </c>
      <c r="G589" t="s">
        <v>26</v>
      </c>
      <c r="H589">
        <v>958</v>
      </c>
      <c r="I589">
        <v>2291.0700000000002</v>
      </c>
      <c r="J589">
        <v>498.61</v>
      </c>
      <c r="K589">
        <v>21.76</v>
      </c>
      <c r="L589">
        <v>-691.29</v>
      </c>
      <c r="M589">
        <v>-30.17</v>
      </c>
      <c r="N589">
        <v>1.52</v>
      </c>
      <c r="O589">
        <v>28.9</v>
      </c>
      <c r="P589">
        <v>0</v>
      </c>
      <c r="Q589">
        <v>39.950000000000003</v>
      </c>
      <c r="R589">
        <v>45.66</v>
      </c>
      <c r="S589">
        <v>120000</v>
      </c>
      <c r="T589">
        <v>10920000</v>
      </c>
    </row>
    <row r="590" spans="1:20" x14ac:dyDescent="0.25">
      <c r="A590" t="s">
        <v>42</v>
      </c>
      <c r="B590" t="s">
        <v>43</v>
      </c>
      <c r="C590" t="s">
        <v>37</v>
      </c>
      <c r="D590" t="s">
        <v>127</v>
      </c>
      <c r="E590" t="s">
        <v>128</v>
      </c>
      <c r="F590" t="s">
        <v>129</v>
      </c>
      <c r="G590" t="s">
        <v>26</v>
      </c>
      <c r="H590">
        <v>958</v>
      </c>
      <c r="I590">
        <v>2589.87</v>
      </c>
      <c r="J590">
        <v>936.61</v>
      </c>
      <c r="K590">
        <v>36.159999999999997</v>
      </c>
      <c r="L590">
        <v>-610.17999999999995</v>
      </c>
      <c r="M590">
        <v>-23.56</v>
      </c>
      <c r="N590">
        <v>1.76</v>
      </c>
      <c r="O590">
        <v>57.7</v>
      </c>
      <c r="P590">
        <v>0</v>
      </c>
      <c r="Q590">
        <v>75.489999999999995</v>
      </c>
      <c r="R590">
        <v>85.77</v>
      </c>
      <c r="S590">
        <v>120000</v>
      </c>
      <c r="T590">
        <v>10920000</v>
      </c>
    </row>
    <row r="591" spans="1:20" x14ac:dyDescent="0.25">
      <c r="A591" t="s">
        <v>44</v>
      </c>
      <c r="B591" t="s">
        <v>45</v>
      </c>
      <c r="C591" t="s">
        <v>37</v>
      </c>
      <c r="D591" t="s">
        <v>127</v>
      </c>
      <c r="E591" t="s">
        <v>128</v>
      </c>
      <c r="F591" t="s">
        <v>129</v>
      </c>
      <c r="G591" t="s">
        <v>26</v>
      </c>
      <c r="H591">
        <v>958</v>
      </c>
      <c r="I591">
        <v>2840.9</v>
      </c>
      <c r="J591">
        <v>992.85</v>
      </c>
      <c r="K591">
        <v>34.950000000000003</v>
      </c>
      <c r="L591">
        <v>-1150.92</v>
      </c>
      <c r="M591">
        <v>-40.51</v>
      </c>
      <c r="N591">
        <v>2.0299999999999998</v>
      </c>
      <c r="O591">
        <v>36.1</v>
      </c>
      <c r="P591">
        <v>3.66</v>
      </c>
      <c r="Q591">
        <v>76.83</v>
      </c>
      <c r="R591">
        <v>90.92</v>
      </c>
      <c r="S591">
        <v>120000</v>
      </c>
      <c r="T591">
        <v>10920000</v>
      </c>
    </row>
    <row r="592" spans="1:20" x14ac:dyDescent="0.25">
      <c r="A592" t="s">
        <v>46</v>
      </c>
      <c r="B592" t="s">
        <v>47</v>
      </c>
      <c r="C592" t="s">
        <v>48</v>
      </c>
      <c r="D592" t="s">
        <v>127</v>
      </c>
      <c r="E592" t="s">
        <v>128</v>
      </c>
      <c r="F592" t="s">
        <v>129</v>
      </c>
      <c r="G592" t="s">
        <v>26</v>
      </c>
      <c r="H592">
        <v>958</v>
      </c>
      <c r="I592">
        <v>10213.93</v>
      </c>
      <c r="J592">
        <v>981.93</v>
      </c>
      <c r="K592">
        <v>9.61</v>
      </c>
      <c r="L592">
        <v>-109.51</v>
      </c>
      <c r="M592">
        <v>-1.07</v>
      </c>
      <c r="N592">
        <v>6.93</v>
      </c>
      <c r="O592">
        <v>15.4</v>
      </c>
      <c r="P592">
        <v>0</v>
      </c>
      <c r="Q592">
        <v>78.97</v>
      </c>
      <c r="R592">
        <v>89.92</v>
      </c>
      <c r="S592">
        <v>120000</v>
      </c>
      <c r="T592">
        <v>10920000</v>
      </c>
    </row>
    <row r="593" spans="1:20" x14ac:dyDescent="0.25">
      <c r="A593" t="s">
        <v>49</v>
      </c>
      <c r="B593" t="s">
        <v>50</v>
      </c>
      <c r="C593" t="s">
        <v>48</v>
      </c>
      <c r="D593" t="s">
        <v>127</v>
      </c>
      <c r="E593" t="s">
        <v>128</v>
      </c>
      <c r="F593" t="s">
        <v>129</v>
      </c>
      <c r="G593" t="s">
        <v>26</v>
      </c>
      <c r="H593">
        <v>958</v>
      </c>
      <c r="I593">
        <v>11030.98</v>
      </c>
      <c r="J593">
        <v>1138.4100000000001</v>
      </c>
      <c r="K593">
        <v>10.32</v>
      </c>
      <c r="L593">
        <v>427.83</v>
      </c>
      <c r="M593">
        <v>3.88</v>
      </c>
      <c r="N593">
        <v>8.16</v>
      </c>
      <c r="O593">
        <v>12.6</v>
      </c>
      <c r="P593">
        <v>22.71</v>
      </c>
      <c r="Q593">
        <v>86.82</v>
      </c>
      <c r="R593">
        <v>104.25</v>
      </c>
      <c r="S593">
        <v>120000</v>
      </c>
      <c r="T593">
        <v>10920000</v>
      </c>
    </row>
    <row r="594" spans="1:20" x14ac:dyDescent="0.25">
      <c r="A594" t="s">
        <v>51</v>
      </c>
      <c r="B594" t="s">
        <v>52</v>
      </c>
      <c r="C594" t="s">
        <v>48</v>
      </c>
      <c r="D594" t="s">
        <v>127</v>
      </c>
      <c r="E594" t="s">
        <v>128</v>
      </c>
      <c r="F594" t="s">
        <v>129</v>
      </c>
      <c r="G594" t="s">
        <v>26</v>
      </c>
      <c r="H594">
        <v>958</v>
      </c>
      <c r="I594">
        <v>10326.57</v>
      </c>
      <c r="J594">
        <v>889.32</v>
      </c>
      <c r="K594">
        <v>8.61</v>
      </c>
      <c r="L594">
        <v>507.51</v>
      </c>
      <c r="M594">
        <v>4.91</v>
      </c>
      <c r="N594">
        <v>7.04</v>
      </c>
      <c r="O594">
        <v>10.3</v>
      </c>
      <c r="P594">
        <v>0</v>
      </c>
      <c r="Q594">
        <v>72.010000000000005</v>
      </c>
      <c r="R594">
        <v>81.44</v>
      </c>
      <c r="S594">
        <v>120000</v>
      </c>
      <c r="T594">
        <v>10920000</v>
      </c>
    </row>
    <row r="595" spans="1:20" x14ac:dyDescent="0.25">
      <c r="A595" t="s">
        <v>53</v>
      </c>
      <c r="B595" t="s">
        <v>54</v>
      </c>
      <c r="C595" t="s">
        <v>55</v>
      </c>
      <c r="D595" t="s">
        <v>127</v>
      </c>
      <c r="E595" t="s">
        <v>128</v>
      </c>
      <c r="F595" t="s">
        <v>129</v>
      </c>
      <c r="G595" t="s">
        <v>26</v>
      </c>
      <c r="H595">
        <v>958</v>
      </c>
      <c r="I595">
        <v>13720.09</v>
      </c>
      <c r="J595">
        <v>1437.4</v>
      </c>
      <c r="K595">
        <v>10.48</v>
      </c>
      <c r="L595">
        <v>945.2</v>
      </c>
      <c r="M595">
        <v>6.89</v>
      </c>
      <c r="N595">
        <v>9.81</v>
      </c>
      <c r="O595">
        <v>11.9</v>
      </c>
      <c r="P595">
        <v>79.12</v>
      </c>
      <c r="Q595">
        <v>109.53</v>
      </c>
      <c r="R595">
        <v>131.63</v>
      </c>
      <c r="S595">
        <v>120000</v>
      </c>
      <c r="T595">
        <v>10920000</v>
      </c>
    </row>
    <row r="596" spans="1:20" x14ac:dyDescent="0.25">
      <c r="A596" t="s">
        <v>56</v>
      </c>
      <c r="B596" t="s">
        <v>57</v>
      </c>
      <c r="C596" t="s">
        <v>55</v>
      </c>
      <c r="D596" t="s">
        <v>127</v>
      </c>
      <c r="E596" t="s">
        <v>128</v>
      </c>
      <c r="F596" t="s">
        <v>129</v>
      </c>
      <c r="G596" t="s">
        <v>26</v>
      </c>
      <c r="H596">
        <v>958</v>
      </c>
      <c r="I596">
        <v>12572.98</v>
      </c>
      <c r="J596">
        <v>1031.83</v>
      </c>
      <c r="K596">
        <v>8.2100000000000009</v>
      </c>
      <c r="L596">
        <v>879.99</v>
      </c>
      <c r="M596">
        <v>7</v>
      </c>
      <c r="N596">
        <v>9.0500000000000007</v>
      </c>
      <c r="O596">
        <v>36.1</v>
      </c>
      <c r="P596">
        <v>18.579999999999998</v>
      </c>
      <c r="Q596">
        <v>80.69</v>
      </c>
      <c r="R596">
        <v>94.49</v>
      </c>
      <c r="S596">
        <v>120000</v>
      </c>
      <c r="T596">
        <v>10920000</v>
      </c>
    </row>
    <row r="597" spans="1:20" x14ac:dyDescent="0.25">
      <c r="A597" t="s">
        <v>58</v>
      </c>
      <c r="B597" t="s">
        <v>59</v>
      </c>
      <c r="C597" t="s">
        <v>55</v>
      </c>
      <c r="D597" t="s">
        <v>127</v>
      </c>
      <c r="E597" t="s">
        <v>128</v>
      </c>
      <c r="F597" t="s">
        <v>129</v>
      </c>
      <c r="G597" t="s">
        <v>26</v>
      </c>
      <c r="H597">
        <v>958</v>
      </c>
      <c r="I597">
        <v>13907.89</v>
      </c>
      <c r="J597">
        <v>1152.72</v>
      </c>
      <c r="K597">
        <v>8.2899999999999991</v>
      </c>
      <c r="L597">
        <v>1184.57</v>
      </c>
      <c r="M597">
        <v>8.52</v>
      </c>
      <c r="N597">
        <v>9.35</v>
      </c>
      <c r="O597">
        <v>10.199999999999999</v>
      </c>
      <c r="P597">
        <v>20.329999999999998</v>
      </c>
      <c r="Q597">
        <v>93.25</v>
      </c>
      <c r="R597">
        <v>105.56</v>
      </c>
      <c r="S597">
        <v>120000</v>
      </c>
      <c r="T597">
        <v>10920000</v>
      </c>
    </row>
    <row r="598" spans="1:20" x14ac:dyDescent="0.25">
      <c r="A598" t="s">
        <v>60</v>
      </c>
      <c r="B598" t="s">
        <v>61</v>
      </c>
      <c r="C598" t="s">
        <v>62</v>
      </c>
      <c r="D598" t="s">
        <v>127</v>
      </c>
      <c r="E598" t="s">
        <v>128</v>
      </c>
      <c r="F598" t="s">
        <v>129</v>
      </c>
      <c r="G598" t="s">
        <v>26</v>
      </c>
      <c r="H598">
        <v>958</v>
      </c>
      <c r="I598">
        <v>12885.2</v>
      </c>
      <c r="J598">
        <v>1060.6600000000001</v>
      </c>
      <c r="K598">
        <v>8.23</v>
      </c>
      <c r="L598">
        <v>877.88</v>
      </c>
      <c r="M598">
        <v>6.81</v>
      </c>
      <c r="N598">
        <v>9.8800000000000008</v>
      </c>
      <c r="O598">
        <v>8.9</v>
      </c>
      <c r="P598">
        <v>7.48</v>
      </c>
      <c r="Q598">
        <v>84.29</v>
      </c>
      <c r="R598">
        <v>97.13</v>
      </c>
      <c r="S598">
        <v>120000</v>
      </c>
      <c r="T598">
        <v>10920000</v>
      </c>
    </row>
    <row r="599" spans="1:20" x14ac:dyDescent="0.25">
      <c r="A599" t="s">
        <v>63</v>
      </c>
      <c r="B599" t="s">
        <v>64</v>
      </c>
      <c r="C599" t="s">
        <v>62</v>
      </c>
      <c r="D599" t="s">
        <v>127</v>
      </c>
      <c r="E599" t="s">
        <v>128</v>
      </c>
      <c r="F599" t="s">
        <v>129</v>
      </c>
      <c r="G599" t="s">
        <v>26</v>
      </c>
      <c r="H599">
        <v>958</v>
      </c>
      <c r="I599">
        <v>14047.95</v>
      </c>
      <c r="J599">
        <v>1113.51</v>
      </c>
      <c r="K599">
        <v>7.93</v>
      </c>
      <c r="L599">
        <v>847.62</v>
      </c>
      <c r="M599">
        <v>6.03</v>
      </c>
      <c r="N599">
        <v>9.59</v>
      </c>
      <c r="O599">
        <v>8.1999999999999993</v>
      </c>
      <c r="P599">
        <v>12.14</v>
      </c>
      <c r="Q599">
        <v>88.18</v>
      </c>
      <c r="R599">
        <v>101.97</v>
      </c>
      <c r="S599">
        <v>120000</v>
      </c>
      <c r="T599">
        <v>10920000</v>
      </c>
    </row>
    <row r="600" spans="1:20" x14ac:dyDescent="0.25">
      <c r="A600" t="s">
        <v>65</v>
      </c>
      <c r="B600" t="s">
        <v>66</v>
      </c>
      <c r="C600" t="s">
        <v>62</v>
      </c>
      <c r="D600" t="s">
        <v>127</v>
      </c>
      <c r="E600" t="s">
        <v>128</v>
      </c>
      <c r="F600" t="s">
        <v>129</v>
      </c>
      <c r="G600" t="s">
        <v>26</v>
      </c>
      <c r="H600">
        <v>958</v>
      </c>
      <c r="I600">
        <v>12717.37</v>
      </c>
      <c r="J600">
        <v>1064.92</v>
      </c>
      <c r="K600">
        <v>8.3699999999999992</v>
      </c>
      <c r="L600">
        <v>629.69000000000005</v>
      </c>
      <c r="M600">
        <v>4.95</v>
      </c>
      <c r="N600">
        <v>8.67</v>
      </c>
      <c r="O600">
        <v>34</v>
      </c>
      <c r="P600">
        <v>30.25</v>
      </c>
      <c r="Q600">
        <v>85.16</v>
      </c>
      <c r="R600">
        <v>97.52</v>
      </c>
      <c r="S600">
        <v>120000</v>
      </c>
      <c r="T600">
        <v>10920000</v>
      </c>
    </row>
    <row r="601" spans="1:20" x14ac:dyDescent="0.25">
      <c r="A601" t="s">
        <v>67</v>
      </c>
      <c r="B601" t="s">
        <v>68</v>
      </c>
      <c r="C601" t="s">
        <v>69</v>
      </c>
      <c r="D601" t="s">
        <v>127</v>
      </c>
      <c r="E601" t="s">
        <v>128</v>
      </c>
      <c r="F601" t="s">
        <v>129</v>
      </c>
      <c r="G601" t="s">
        <v>26</v>
      </c>
      <c r="H601">
        <v>958</v>
      </c>
      <c r="I601">
        <v>12884.59</v>
      </c>
      <c r="J601">
        <v>982.36</v>
      </c>
      <c r="K601">
        <v>7.62</v>
      </c>
      <c r="L601">
        <v>1717.1</v>
      </c>
      <c r="M601">
        <v>13.33</v>
      </c>
      <c r="N601">
        <v>9.23</v>
      </c>
      <c r="O601">
        <v>57.5</v>
      </c>
      <c r="P601">
        <v>0</v>
      </c>
      <c r="Q601">
        <v>78.33</v>
      </c>
      <c r="R601">
        <v>89.96</v>
      </c>
      <c r="S601">
        <v>120000</v>
      </c>
      <c r="T601">
        <v>10920000</v>
      </c>
    </row>
    <row r="602" spans="1:20" x14ac:dyDescent="0.25">
      <c r="A602" t="s">
        <v>70</v>
      </c>
      <c r="B602" t="s">
        <v>71</v>
      </c>
      <c r="C602" t="s">
        <v>69</v>
      </c>
      <c r="D602" t="s">
        <v>127</v>
      </c>
      <c r="E602" t="s">
        <v>128</v>
      </c>
      <c r="F602" t="s">
        <v>129</v>
      </c>
      <c r="G602" t="s">
        <v>26</v>
      </c>
      <c r="H602">
        <v>958</v>
      </c>
      <c r="I602">
        <v>12795.37</v>
      </c>
      <c r="J602">
        <v>1081.3</v>
      </c>
      <c r="K602">
        <v>8.4499999999999993</v>
      </c>
      <c r="L602">
        <v>695.42</v>
      </c>
      <c r="M602">
        <v>5.43</v>
      </c>
      <c r="N602">
        <v>9.6300000000000008</v>
      </c>
      <c r="O602">
        <v>36.9</v>
      </c>
      <c r="P602">
        <v>39.99</v>
      </c>
      <c r="Q602">
        <v>84.61</v>
      </c>
      <c r="R602">
        <v>99.02</v>
      </c>
      <c r="S602">
        <v>120000</v>
      </c>
      <c r="T602">
        <v>10920000</v>
      </c>
    </row>
    <row r="603" spans="1:20" x14ac:dyDescent="0.25">
      <c r="A603" t="s">
        <v>72</v>
      </c>
      <c r="B603" t="s">
        <v>73</v>
      </c>
      <c r="C603" t="s">
        <v>69</v>
      </c>
      <c r="D603" t="s">
        <v>127</v>
      </c>
      <c r="E603" t="s">
        <v>128</v>
      </c>
      <c r="F603" t="s">
        <v>129</v>
      </c>
      <c r="G603" t="s">
        <v>26</v>
      </c>
      <c r="H603">
        <v>958</v>
      </c>
      <c r="I603">
        <v>14150.61</v>
      </c>
      <c r="J603">
        <v>1111.44</v>
      </c>
      <c r="K603">
        <v>7.85</v>
      </c>
      <c r="L603">
        <v>773.89</v>
      </c>
      <c r="M603">
        <v>5.47</v>
      </c>
      <c r="N603">
        <v>9.02</v>
      </c>
      <c r="O603">
        <v>59.6</v>
      </c>
      <c r="P603">
        <v>86.7</v>
      </c>
      <c r="Q603">
        <v>84.06</v>
      </c>
      <c r="R603">
        <v>101.78</v>
      </c>
      <c r="S603">
        <v>120000</v>
      </c>
      <c r="T603">
        <v>10920000</v>
      </c>
    </row>
    <row r="604" spans="1:20" x14ac:dyDescent="0.25">
      <c r="A604" t="s">
        <v>74</v>
      </c>
      <c r="B604" t="s">
        <v>75</v>
      </c>
      <c r="C604" t="s">
        <v>69</v>
      </c>
      <c r="D604" t="s">
        <v>127</v>
      </c>
      <c r="E604" t="s">
        <v>128</v>
      </c>
      <c r="F604" t="s">
        <v>129</v>
      </c>
      <c r="G604" t="s">
        <v>26</v>
      </c>
      <c r="H604">
        <v>958</v>
      </c>
      <c r="I604">
        <v>13739.2</v>
      </c>
      <c r="J604">
        <v>1026.26</v>
      </c>
      <c r="K604">
        <v>7.47</v>
      </c>
      <c r="L604">
        <v>1658.55</v>
      </c>
      <c r="M604">
        <v>12.07</v>
      </c>
      <c r="N604">
        <v>9.2799999999999994</v>
      </c>
      <c r="O604">
        <v>0.2</v>
      </c>
      <c r="P604">
        <v>0.09</v>
      </c>
      <c r="Q604">
        <v>80.400000000000006</v>
      </c>
      <c r="R604">
        <v>93.98</v>
      </c>
      <c r="S604">
        <v>120000</v>
      </c>
      <c r="T604">
        <v>10920000</v>
      </c>
    </row>
    <row r="605" spans="1:20" x14ac:dyDescent="0.25">
      <c r="A605" t="s">
        <v>76</v>
      </c>
      <c r="B605" t="s">
        <v>77</v>
      </c>
      <c r="C605" t="s">
        <v>69</v>
      </c>
      <c r="D605" t="s">
        <v>127</v>
      </c>
      <c r="E605" t="s">
        <v>128</v>
      </c>
      <c r="F605" t="s">
        <v>129</v>
      </c>
      <c r="G605" t="s">
        <v>26</v>
      </c>
      <c r="H605">
        <v>958</v>
      </c>
      <c r="I605">
        <v>13368.62</v>
      </c>
      <c r="J605">
        <v>1228.72</v>
      </c>
      <c r="K605">
        <v>9.19</v>
      </c>
      <c r="L605">
        <v>1858.25</v>
      </c>
      <c r="M605">
        <v>13.9</v>
      </c>
      <c r="N605">
        <v>10.18</v>
      </c>
      <c r="O605">
        <v>4.7</v>
      </c>
      <c r="P605">
        <v>14.45</v>
      </c>
      <c r="Q605">
        <v>94.78</v>
      </c>
      <c r="R605">
        <v>112.52</v>
      </c>
      <c r="S605">
        <v>120000</v>
      </c>
      <c r="T605">
        <v>10920000</v>
      </c>
    </row>
    <row r="606" spans="1:20" x14ac:dyDescent="0.25">
      <c r="A606" t="s">
        <v>78</v>
      </c>
      <c r="B606" t="s">
        <v>79</v>
      </c>
      <c r="C606" t="s">
        <v>80</v>
      </c>
      <c r="D606" t="s">
        <v>127</v>
      </c>
      <c r="E606" t="s">
        <v>128</v>
      </c>
      <c r="F606" t="s">
        <v>129</v>
      </c>
      <c r="G606" t="s">
        <v>26</v>
      </c>
      <c r="H606">
        <v>958</v>
      </c>
      <c r="I606">
        <v>12862.24</v>
      </c>
      <c r="J606">
        <v>1108.82</v>
      </c>
      <c r="K606">
        <v>8.6199999999999992</v>
      </c>
      <c r="L606">
        <v>914.8</v>
      </c>
      <c r="M606">
        <v>7.11</v>
      </c>
      <c r="N606">
        <v>9.65</v>
      </c>
      <c r="O606">
        <v>53.6</v>
      </c>
      <c r="P606">
        <v>76.209999999999994</v>
      </c>
      <c r="Q606">
        <v>85.13</v>
      </c>
      <c r="R606">
        <v>101.54</v>
      </c>
      <c r="S606">
        <v>120000</v>
      </c>
      <c r="T606">
        <v>10920000</v>
      </c>
    </row>
    <row r="607" spans="1:20" x14ac:dyDescent="0.25">
      <c r="A607" t="s">
        <v>81</v>
      </c>
      <c r="B607" t="s">
        <v>82</v>
      </c>
      <c r="C607" t="s">
        <v>80</v>
      </c>
      <c r="D607" t="s">
        <v>127</v>
      </c>
      <c r="E607" t="s">
        <v>128</v>
      </c>
      <c r="F607" t="s">
        <v>129</v>
      </c>
      <c r="G607" t="s">
        <v>26</v>
      </c>
      <c r="H607">
        <v>958</v>
      </c>
      <c r="I607">
        <v>12857.47</v>
      </c>
      <c r="J607">
        <v>1315.1</v>
      </c>
      <c r="K607">
        <v>10.23</v>
      </c>
      <c r="L607">
        <v>1199.7</v>
      </c>
      <c r="M607">
        <v>9.33</v>
      </c>
      <c r="N607">
        <v>9.06</v>
      </c>
      <c r="O607">
        <v>26.9</v>
      </c>
      <c r="P607">
        <v>119.61</v>
      </c>
      <c r="Q607">
        <v>101.77</v>
      </c>
      <c r="R607">
        <v>120.43</v>
      </c>
      <c r="S607">
        <v>120000</v>
      </c>
      <c r="T607">
        <v>10920000</v>
      </c>
    </row>
    <row r="608" spans="1:20" x14ac:dyDescent="0.25">
      <c r="A608" t="s">
        <v>83</v>
      </c>
      <c r="B608" t="s">
        <v>84</v>
      </c>
      <c r="C608" t="s">
        <v>80</v>
      </c>
      <c r="D608" t="s">
        <v>127</v>
      </c>
      <c r="E608" t="s">
        <v>128</v>
      </c>
      <c r="F608" t="s">
        <v>129</v>
      </c>
      <c r="G608" t="s">
        <v>26</v>
      </c>
      <c r="H608">
        <v>958</v>
      </c>
      <c r="I608">
        <v>13459.64</v>
      </c>
      <c r="J608">
        <v>1225.44</v>
      </c>
      <c r="K608">
        <v>9.1</v>
      </c>
      <c r="L608">
        <v>932.47</v>
      </c>
      <c r="M608">
        <v>6.93</v>
      </c>
      <c r="N608">
        <v>9.5399999999999991</v>
      </c>
      <c r="O608">
        <v>44.6</v>
      </c>
      <c r="P608">
        <v>134.94</v>
      </c>
      <c r="Q608">
        <v>93.24</v>
      </c>
      <c r="R608">
        <v>112.22</v>
      </c>
      <c r="S608">
        <v>120000</v>
      </c>
      <c r="T608">
        <v>10920000</v>
      </c>
    </row>
    <row r="609" spans="1:20" x14ac:dyDescent="0.25">
      <c r="A609" t="s">
        <v>85</v>
      </c>
      <c r="B609" t="s">
        <v>86</v>
      </c>
      <c r="C609" t="s">
        <v>80</v>
      </c>
      <c r="D609" t="s">
        <v>127</v>
      </c>
      <c r="E609" t="s">
        <v>128</v>
      </c>
      <c r="F609" t="s">
        <v>129</v>
      </c>
      <c r="G609" t="s">
        <v>26</v>
      </c>
      <c r="H609">
        <v>958</v>
      </c>
      <c r="I609">
        <v>12647.26</v>
      </c>
      <c r="J609">
        <v>1219.44</v>
      </c>
      <c r="K609">
        <v>9.64</v>
      </c>
      <c r="L609">
        <v>1729.27</v>
      </c>
      <c r="M609">
        <v>13.67</v>
      </c>
      <c r="N609">
        <v>8.31</v>
      </c>
      <c r="O609">
        <v>23.4</v>
      </c>
      <c r="P609">
        <v>68.709999999999994</v>
      </c>
      <c r="Q609">
        <v>99.34</v>
      </c>
      <c r="R609">
        <v>111.67</v>
      </c>
      <c r="S609">
        <v>120000</v>
      </c>
      <c r="T609">
        <v>10920000</v>
      </c>
    </row>
    <row r="610" spans="1:20" x14ac:dyDescent="0.25">
      <c r="A610" t="s">
        <v>87</v>
      </c>
      <c r="B610" t="s">
        <v>88</v>
      </c>
      <c r="C610" t="s">
        <v>89</v>
      </c>
      <c r="D610" t="s">
        <v>127</v>
      </c>
      <c r="E610" t="s">
        <v>128</v>
      </c>
      <c r="F610" t="s">
        <v>129</v>
      </c>
      <c r="G610" t="s">
        <v>26</v>
      </c>
      <c r="H610">
        <v>958</v>
      </c>
      <c r="I610">
        <v>10482.459999999999</v>
      </c>
      <c r="J610">
        <v>1603.06</v>
      </c>
      <c r="K610">
        <v>15.29</v>
      </c>
      <c r="L610">
        <v>-2534.69</v>
      </c>
      <c r="M610">
        <v>-24.18</v>
      </c>
      <c r="N610">
        <v>7.45</v>
      </c>
      <c r="O610">
        <v>56.5</v>
      </c>
      <c r="P610">
        <v>571.61</v>
      </c>
      <c r="Q610">
        <v>130.88</v>
      </c>
      <c r="R610">
        <v>146.80000000000001</v>
      </c>
      <c r="S610">
        <v>120000</v>
      </c>
      <c r="T610">
        <v>10920000</v>
      </c>
    </row>
    <row r="611" spans="1:20" x14ac:dyDescent="0.25">
      <c r="A611" t="s">
        <v>20</v>
      </c>
      <c r="B611" t="s">
        <v>21</v>
      </c>
      <c r="C611" t="s">
        <v>22</v>
      </c>
      <c r="D611" t="s">
        <v>130</v>
      </c>
      <c r="E611" t="s">
        <v>128</v>
      </c>
      <c r="F611" t="s">
        <v>129</v>
      </c>
      <c r="G611" t="s">
        <v>26</v>
      </c>
      <c r="H611">
        <v>952</v>
      </c>
      <c r="I611">
        <v>14326.25</v>
      </c>
      <c r="J611">
        <v>780.48</v>
      </c>
      <c r="K611">
        <v>5.45</v>
      </c>
      <c r="L611">
        <v>1040.3599999999999</v>
      </c>
      <c r="M611">
        <v>7.26</v>
      </c>
      <c r="N611">
        <v>9.9700000000000006</v>
      </c>
      <c r="O611">
        <v>50.5</v>
      </c>
      <c r="P611">
        <v>0</v>
      </c>
      <c r="Q611">
        <v>63</v>
      </c>
      <c r="R611">
        <v>74.58</v>
      </c>
      <c r="S611">
        <v>115000</v>
      </c>
      <c r="T611">
        <v>10465000</v>
      </c>
    </row>
    <row r="612" spans="1:20" x14ac:dyDescent="0.25">
      <c r="A612" t="s">
        <v>27</v>
      </c>
      <c r="B612" t="s">
        <v>28</v>
      </c>
      <c r="C612" t="s">
        <v>22</v>
      </c>
      <c r="D612" t="s">
        <v>130</v>
      </c>
      <c r="E612" t="s">
        <v>128</v>
      </c>
      <c r="F612" t="s">
        <v>129</v>
      </c>
      <c r="G612" t="s">
        <v>26</v>
      </c>
      <c r="H612">
        <v>952</v>
      </c>
      <c r="I612">
        <v>13195.03</v>
      </c>
      <c r="J612">
        <v>767.5</v>
      </c>
      <c r="K612">
        <v>5.82</v>
      </c>
      <c r="L612">
        <v>1225.1199999999999</v>
      </c>
      <c r="M612">
        <v>9.2799999999999994</v>
      </c>
      <c r="N612">
        <v>8.83</v>
      </c>
      <c r="O612">
        <v>24.6</v>
      </c>
      <c r="P612">
        <v>0</v>
      </c>
      <c r="Q612">
        <v>64.790000000000006</v>
      </c>
      <c r="R612">
        <v>73.34</v>
      </c>
      <c r="S612">
        <v>115000</v>
      </c>
      <c r="T612">
        <v>10465000</v>
      </c>
    </row>
    <row r="613" spans="1:20" x14ac:dyDescent="0.25">
      <c r="A613" t="s">
        <v>29</v>
      </c>
      <c r="B613" t="s">
        <v>30</v>
      </c>
      <c r="C613" t="s">
        <v>22</v>
      </c>
      <c r="D613" t="s">
        <v>130</v>
      </c>
      <c r="E613" t="s">
        <v>128</v>
      </c>
      <c r="F613" t="s">
        <v>129</v>
      </c>
      <c r="G613" t="s">
        <v>26</v>
      </c>
      <c r="H613">
        <v>952</v>
      </c>
      <c r="I613">
        <v>12918.04</v>
      </c>
      <c r="J613">
        <v>744.17</v>
      </c>
      <c r="K613">
        <v>5.76</v>
      </c>
      <c r="L613">
        <v>1042.3399999999999</v>
      </c>
      <c r="M613">
        <v>8.07</v>
      </c>
      <c r="N613">
        <v>8.2799999999999994</v>
      </c>
      <c r="O613">
        <v>19.600000000000001</v>
      </c>
      <c r="P613">
        <v>0</v>
      </c>
      <c r="Q613">
        <v>60.46</v>
      </c>
      <c r="R613">
        <v>71.11</v>
      </c>
      <c r="S613">
        <v>115000</v>
      </c>
      <c r="T613">
        <v>10465000</v>
      </c>
    </row>
    <row r="614" spans="1:20" x14ac:dyDescent="0.25">
      <c r="A614" t="s">
        <v>31</v>
      </c>
      <c r="B614" t="s">
        <v>32</v>
      </c>
      <c r="C614" t="s">
        <v>22</v>
      </c>
      <c r="D614" t="s">
        <v>130</v>
      </c>
      <c r="E614" t="s">
        <v>128</v>
      </c>
      <c r="F614" t="s">
        <v>129</v>
      </c>
      <c r="G614" t="s">
        <v>26</v>
      </c>
      <c r="H614">
        <v>952</v>
      </c>
      <c r="I614">
        <v>13330.17</v>
      </c>
      <c r="J614">
        <v>805.49</v>
      </c>
      <c r="K614">
        <v>6.04</v>
      </c>
      <c r="L614">
        <v>1107.2</v>
      </c>
      <c r="M614">
        <v>8.31</v>
      </c>
      <c r="N614">
        <v>9.93</v>
      </c>
      <c r="O614">
        <v>41</v>
      </c>
      <c r="P614">
        <v>0</v>
      </c>
      <c r="Q614">
        <v>65.66</v>
      </c>
      <c r="R614">
        <v>76.97</v>
      </c>
      <c r="S614">
        <v>115000</v>
      </c>
      <c r="T614">
        <v>10465000</v>
      </c>
    </row>
    <row r="615" spans="1:20" x14ac:dyDescent="0.25">
      <c r="A615" t="s">
        <v>33</v>
      </c>
      <c r="B615" t="s">
        <v>34</v>
      </c>
      <c r="C615" t="s">
        <v>22</v>
      </c>
      <c r="D615" t="s">
        <v>130</v>
      </c>
      <c r="E615" t="s">
        <v>128</v>
      </c>
      <c r="F615" t="s">
        <v>129</v>
      </c>
      <c r="G615" t="s">
        <v>26</v>
      </c>
      <c r="H615">
        <v>952</v>
      </c>
      <c r="I615">
        <v>14454.43</v>
      </c>
      <c r="J615">
        <v>788.85</v>
      </c>
      <c r="K615">
        <v>5.46</v>
      </c>
      <c r="L615">
        <v>1431.93</v>
      </c>
      <c r="M615">
        <v>9.91</v>
      </c>
      <c r="N615">
        <v>10.55</v>
      </c>
      <c r="O615">
        <v>54.2</v>
      </c>
      <c r="P615">
        <v>0</v>
      </c>
      <c r="Q615">
        <v>66.66</v>
      </c>
      <c r="R615">
        <v>75.38</v>
      </c>
      <c r="S615">
        <v>115000</v>
      </c>
      <c r="T615">
        <v>10465000</v>
      </c>
    </row>
    <row r="616" spans="1:20" x14ac:dyDescent="0.25">
      <c r="A616" t="s">
        <v>35</v>
      </c>
      <c r="B616" t="s">
        <v>36</v>
      </c>
      <c r="C616" t="s">
        <v>37</v>
      </c>
      <c r="D616" t="s">
        <v>130</v>
      </c>
      <c r="E616" t="s">
        <v>128</v>
      </c>
      <c r="F616" t="s">
        <v>129</v>
      </c>
      <c r="G616" t="s">
        <v>26</v>
      </c>
      <c r="H616">
        <v>952</v>
      </c>
      <c r="I616">
        <v>3997.98</v>
      </c>
      <c r="J616">
        <v>247.92</v>
      </c>
      <c r="K616">
        <v>6.2</v>
      </c>
      <c r="L616">
        <v>-1129.51</v>
      </c>
      <c r="M616">
        <v>-28.25</v>
      </c>
      <c r="N616">
        <v>2.71</v>
      </c>
      <c r="O616">
        <v>36.9</v>
      </c>
      <c r="P616">
        <v>0</v>
      </c>
      <c r="Q616">
        <v>20.57</v>
      </c>
      <c r="R616">
        <v>23.69</v>
      </c>
      <c r="S616">
        <v>115000</v>
      </c>
      <c r="T616">
        <v>10465000</v>
      </c>
    </row>
    <row r="617" spans="1:20" x14ac:dyDescent="0.25">
      <c r="A617" t="s">
        <v>38</v>
      </c>
      <c r="B617" t="s">
        <v>39</v>
      </c>
      <c r="C617" t="s">
        <v>37</v>
      </c>
      <c r="D617" t="s">
        <v>130</v>
      </c>
      <c r="E617" t="s">
        <v>128</v>
      </c>
      <c r="F617" t="s">
        <v>129</v>
      </c>
      <c r="G617" t="s">
        <v>26</v>
      </c>
      <c r="H617">
        <v>952</v>
      </c>
      <c r="I617">
        <v>2533.88</v>
      </c>
      <c r="J617">
        <v>527.75</v>
      </c>
      <c r="K617">
        <v>20.83</v>
      </c>
      <c r="L617">
        <v>-748.61</v>
      </c>
      <c r="M617">
        <v>-29.54</v>
      </c>
      <c r="N617">
        <v>1.75</v>
      </c>
      <c r="O617">
        <v>52.3</v>
      </c>
      <c r="P617">
        <v>0</v>
      </c>
      <c r="Q617">
        <v>44.05</v>
      </c>
      <c r="R617">
        <v>50.43</v>
      </c>
      <c r="S617">
        <v>115000</v>
      </c>
      <c r="T617">
        <v>10465000</v>
      </c>
    </row>
    <row r="618" spans="1:20" x14ac:dyDescent="0.25">
      <c r="A618" t="s">
        <v>40</v>
      </c>
      <c r="B618" t="s">
        <v>41</v>
      </c>
      <c r="C618" t="s">
        <v>37</v>
      </c>
      <c r="D618" t="s">
        <v>130</v>
      </c>
      <c r="E618" t="s">
        <v>128</v>
      </c>
      <c r="F618" t="s">
        <v>129</v>
      </c>
      <c r="G618" t="s">
        <v>26</v>
      </c>
      <c r="H618">
        <v>952</v>
      </c>
      <c r="I618">
        <v>4437.08</v>
      </c>
      <c r="J618">
        <v>477.83</v>
      </c>
      <c r="K618">
        <v>10.77</v>
      </c>
      <c r="L618">
        <v>-1849.38</v>
      </c>
      <c r="M618">
        <v>-41.68</v>
      </c>
      <c r="N618">
        <v>3.17</v>
      </c>
      <c r="O618">
        <v>61.8</v>
      </c>
      <c r="P618">
        <v>0</v>
      </c>
      <c r="Q618">
        <v>39.950000000000003</v>
      </c>
      <c r="R618">
        <v>45.66</v>
      </c>
      <c r="S618">
        <v>115000</v>
      </c>
      <c r="T618">
        <v>10465000</v>
      </c>
    </row>
    <row r="619" spans="1:20" x14ac:dyDescent="0.25">
      <c r="A619" t="s">
        <v>42</v>
      </c>
      <c r="B619" t="s">
        <v>43</v>
      </c>
      <c r="C619" t="s">
        <v>37</v>
      </c>
      <c r="D619" t="s">
        <v>130</v>
      </c>
      <c r="E619" t="s">
        <v>128</v>
      </c>
      <c r="F619" t="s">
        <v>129</v>
      </c>
      <c r="G619" t="s">
        <v>26</v>
      </c>
      <c r="H619">
        <v>952</v>
      </c>
      <c r="I619">
        <v>4478.26</v>
      </c>
      <c r="J619">
        <v>897.58</v>
      </c>
      <c r="K619">
        <v>20.04</v>
      </c>
      <c r="L619">
        <v>-1081.02</v>
      </c>
      <c r="M619">
        <v>-24.14</v>
      </c>
      <c r="N619">
        <v>2.8</v>
      </c>
      <c r="O619">
        <v>16.399999999999999</v>
      </c>
      <c r="P619">
        <v>0</v>
      </c>
      <c r="Q619">
        <v>75.489999999999995</v>
      </c>
      <c r="R619">
        <v>85.77</v>
      </c>
      <c r="S619">
        <v>115000</v>
      </c>
      <c r="T619">
        <v>10465000</v>
      </c>
    </row>
    <row r="620" spans="1:20" x14ac:dyDescent="0.25">
      <c r="A620" t="s">
        <v>44</v>
      </c>
      <c r="B620" t="s">
        <v>45</v>
      </c>
      <c r="C620" t="s">
        <v>37</v>
      </c>
      <c r="D620" t="s">
        <v>130</v>
      </c>
      <c r="E620" t="s">
        <v>128</v>
      </c>
      <c r="F620" t="s">
        <v>129</v>
      </c>
      <c r="G620" t="s">
        <v>26</v>
      </c>
      <c r="H620">
        <v>952</v>
      </c>
      <c r="I620">
        <v>2411.9</v>
      </c>
      <c r="J620">
        <v>951.48</v>
      </c>
      <c r="K620">
        <v>39.450000000000003</v>
      </c>
      <c r="L620">
        <v>-526.44000000000005</v>
      </c>
      <c r="M620">
        <v>-21.83</v>
      </c>
      <c r="N620">
        <v>1.74</v>
      </c>
      <c r="O620">
        <v>34.6</v>
      </c>
      <c r="P620">
        <v>3.37</v>
      </c>
      <c r="Q620">
        <v>76.83</v>
      </c>
      <c r="R620">
        <v>90.92</v>
      </c>
      <c r="S620">
        <v>115000</v>
      </c>
      <c r="T620">
        <v>10465000</v>
      </c>
    </row>
    <row r="621" spans="1:20" x14ac:dyDescent="0.25">
      <c r="A621" t="s">
        <v>46</v>
      </c>
      <c r="B621" t="s">
        <v>47</v>
      </c>
      <c r="C621" t="s">
        <v>48</v>
      </c>
      <c r="D621" t="s">
        <v>130</v>
      </c>
      <c r="E621" t="s">
        <v>128</v>
      </c>
      <c r="F621" t="s">
        <v>129</v>
      </c>
      <c r="G621" t="s">
        <v>26</v>
      </c>
      <c r="H621">
        <v>952</v>
      </c>
      <c r="I621">
        <v>11355.94</v>
      </c>
      <c r="J621">
        <v>941.01</v>
      </c>
      <c r="K621">
        <v>8.2899999999999991</v>
      </c>
      <c r="L621">
        <v>-280.33999999999997</v>
      </c>
      <c r="M621">
        <v>-2.4700000000000002</v>
      </c>
      <c r="N621">
        <v>8.0299999999999994</v>
      </c>
      <c r="O621">
        <v>39.6</v>
      </c>
      <c r="P621">
        <v>0</v>
      </c>
      <c r="Q621">
        <v>78.97</v>
      </c>
      <c r="R621">
        <v>89.92</v>
      </c>
      <c r="S621">
        <v>115000</v>
      </c>
      <c r="T621">
        <v>10465000</v>
      </c>
    </row>
    <row r="622" spans="1:20" x14ac:dyDescent="0.25">
      <c r="A622" t="s">
        <v>49</v>
      </c>
      <c r="B622" t="s">
        <v>50</v>
      </c>
      <c r="C622" t="s">
        <v>48</v>
      </c>
      <c r="D622" t="s">
        <v>130</v>
      </c>
      <c r="E622" t="s">
        <v>128</v>
      </c>
      <c r="F622" t="s">
        <v>129</v>
      </c>
      <c r="G622" t="s">
        <v>26</v>
      </c>
      <c r="H622">
        <v>952</v>
      </c>
      <c r="I622">
        <v>9640.3700000000008</v>
      </c>
      <c r="J622">
        <v>1090.98</v>
      </c>
      <c r="K622">
        <v>11.32</v>
      </c>
      <c r="L622">
        <v>126.28</v>
      </c>
      <c r="M622">
        <v>1.31</v>
      </c>
      <c r="N622">
        <v>6.28</v>
      </c>
      <c r="O622">
        <v>44</v>
      </c>
      <c r="P622">
        <v>76</v>
      </c>
      <c r="Q622">
        <v>86.82</v>
      </c>
      <c r="R622">
        <v>104.25</v>
      </c>
      <c r="S622">
        <v>115000</v>
      </c>
      <c r="T622">
        <v>10465000</v>
      </c>
    </row>
    <row r="623" spans="1:20" x14ac:dyDescent="0.25">
      <c r="A623" t="s">
        <v>51</v>
      </c>
      <c r="B623" t="s">
        <v>52</v>
      </c>
      <c r="C623" t="s">
        <v>48</v>
      </c>
      <c r="D623" t="s">
        <v>130</v>
      </c>
      <c r="E623" t="s">
        <v>128</v>
      </c>
      <c r="F623" t="s">
        <v>129</v>
      </c>
      <c r="G623" t="s">
        <v>26</v>
      </c>
      <c r="H623">
        <v>952</v>
      </c>
      <c r="I623">
        <v>9849.23</v>
      </c>
      <c r="J623">
        <v>852.27</v>
      </c>
      <c r="K623">
        <v>8.65</v>
      </c>
      <c r="L623">
        <v>-462.31</v>
      </c>
      <c r="M623">
        <v>-4.6900000000000004</v>
      </c>
      <c r="N623">
        <v>7.39</v>
      </c>
      <c r="O623">
        <v>32.6</v>
      </c>
      <c r="P623">
        <v>0</v>
      </c>
      <c r="Q623">
        <v>72.010000000000005</v>
      </c>
      <c r="R623">
        <v>81.44</v>
      </c>
      <c r="S623">
        <v>115000</v>
      </c>
      <c r="T623">
        <v>10465000</v>
      </c>
    </row>
    <row r="624" spans="1:20" x14ac:dyDescent="0.25">
      <c r="A624" t="s">
        <v>53</v>
      </c>
      <c r="B624" t="s">
        <v>54</v>
      </c>
      <c r="C624" t="s">
        <v>55</v>
      </c>
      <c r="D624" t="s">
        <v>130</v>
      </c>
      <c r="E624" t="s">
        <v>128</v>
      </c>
      <c r="F624" t="s">
        <v>129</v>
      </c>
      <c r="G624" t="s">
        <v>26</v>
      </c>
      <c r="H624">
        <v>952</v>
      </c>
      <c r="I624">
        <v>13977.13</v>
      </c>
      <c r="J624">
        <v>1377.51</v>
      </c>
      <c r="K624">
        <v>9.86</v>
      </c>
      <c r="L624">
        <v>499.74</v>
      </c>
      <c r="M624">
        <v>3.58</v>
      </c>
      <c r="N624">
        <v>8.9</v>
      </c>
      <c r="O624">
        <v>58.7</v>
      </c>
      <c r="P624">
        <v>374.02</v>
      </c>
      <c r="Q624">
        <v>109.53</v>
      </c>
      <c r="R624">
        <v>131.63</v>
      </c>
      <c r="S624">
        <v>115000</v>
      </c>
      <c r="T624">
        <v>10465000</v>
      </c>
    </row>
    <row r="625" spans="1:20" x14ac:dyDescent="0.25">
      <c r="A625" t="s">
        <v>56</v>
      </c>
      <c r="B625" t="s">
        <v>57</v>
      </c>
      <c r="C625" t="s">
        <v>55</v>
      </c>
      <c r="D625" t="s">
        <v>130</v>
      </c>
      <c r="E625" t="s">
        <v>128</v>
      </c>
      <c r="F625" t="s">
        <v>129</v>
      </c>
      <c r="G625" t="s">
        <v>26</v>
      </c>
      <c r="H625">
        <v>952</v>
      </c>
      <c r="I625">
        <v>13669.15</v>
      </c>
      <c r="J625">
        <v>988.84</v>
      </c>
      <c r="K625">
        <v>7.23</v>
      </c>
      <c r="L625">
        <v>812.88</v>
      </c>
      <c r="M625">
        <v>5.95</v>
      </c>
      <c r="N625">
        <v>9.44</v>
      </c>
      <c r="O625">
        <v>15.4</v>
      </c>
      <c r="P625">
        <v>7.6</v>
      </c>
      <c r="Q625">
        <v>80.69</v>
      </c>
      <c r="R625">
        <v>94.49</v>
      </c>
      <c r="S625">
        <v>115000</v>
      </c>
      <c r="T625">
        <v>10465000</v>
      </c>
    </row>
    <row r="626" spans="1:20" x14ac:dyDescent="0.25">
      <c r="A626" t="s">
        <v>58</v>
      </c>
      <c r="B626" t="s">
        <v>59</v>
      </c>
      <c r="C626" t="s">
        <v>55</v>
      </c>
      <c r="D626" t="s">
        <v>130</v>
      </c>
      <c r="E626" t="s">
        <v>128</v>
      </c>
      <c r="F626" t="s">
        <v>129</v>
      </c>
      <c r="G626" t="s">
        <v>26</v>
      </c>
      <c r="H626">
        <v>952</v>
      </c>
      <c r="I626">
        <v>14533.06</v>
      </c>
      <c r="J626">
        <v>1104.69</v>
      </c>
      <c r="K626">
        <v>7.6</v>
      </c>
      <c r="L626">
        <v>539.75</v>
      </c>
      <c r="M626">
        <v>3.71</v>
      </c>
      <c r="N626">
        <v>9.31</v>
      </c>
      <c r="O626">
        <v>60.5</v>
      </c>
      <c r="P626">
        <v>115.55</v>
      </c>
      <c r="Q626">
        <v>93.25</v>
      </c>
      <c r="R626">
        <v>105.56</v>
      </c>
      <c r="S626">
        <v>115000</v>
      </c>
      <c r="T626">
        <v>10465000</v>
      </c>
    </row>
    <row r="627" spans="1:20" x14ac:dyDescent="0.25">
      <c r="A627" t="s">
        <v>60</v>
      </c>
      <c r="B627" t="s">
        <v>61</v>
      </c>
      <c r="C627" t="s">
        <v>62</v>
      </c>
      <c r="D627" t="s">
        <v>130</v>
      </c>
      <c r="E627" t="s">
        <v>128</v>
      </c>
      <c r="F627" t="s">
        <v>129</v>
      </c>
      <c r="G627" t="s">
        <v>26</v>
      </c>
      <c r="H627">
        <v>952</v>
      </c>
      <c r="I627">
        <v>13203.28</v>
      </c>
      <c r="J627">
        <v>1016.47</v>
      </c>
      <c r="K627">
        <v>7.7</v>
      </c>
      <c r="L627">
        <v>1666.89</v>
      </c>
      <c r="M627">
        <v>12.62</v>
      </c>
      <c r="N627">
        <v>9.58</v>
      </c>
      <c r="O627">
        <v>24.8</v>
      </c>
      <c r="P627">
        <v>19.97</v>
      </c>
      <c r="Q627">
        <v>84.29</v>
      </c>
      <c r="R627">
        <v>97.13</v>
      </c>
      <c r="S627">
        <v>115000</v>
      </c>
      <c r="T627">
        <v>10465000</v>
      </c>
    </row>
    <row r="628" spans="1:20" x14ac:dyDescent="0.25">
      <c r="A628" t="s">
        <v>63</v>
      </c>
      <c r="B628" t="s">
        <v>64</v>
      </c>
      <c r="C628" t="s">
        <v>62</v>
      </c>
      <c r="D628" t="s">
        <v>130</v>
      </c>
      <c r="E628" t="s">
        <v>128</v>
      </c>
      <c r="F628" t="s">
        <v>129</v>
      </c>
      <c r="G628" t="s">
        <v>26</v>
      </c>
      <c r="H628">
        <v>952</v>
      </c>
      <c r="I628">
        <v>13197.05</v>
      </c>
      <c r="J628">
        <v>1067.1199999999999</v>
      </c>
      <c r="K628">
        <v>8.09</v>
      </c>
      <c r="L628">
        <v>1529.52</v>
      </c>
      <c r="M628">
        <v>11.59</v>
      </c>
      <c r="N628">
        <v>9.26</v>
      </c>
      <c r="O628">
        <v>16.5</v>
      </c>
      <c r="P628">
        <v>23.42</v>
      </c>
      <c r="Q628">
        <v>88.18</v>
      </c>
      <c r="R628">
        <v>101.97</v>
      </c>
      <c r="S628">
        <v>115000</v>
      </c>
      <c r="T628">
        <v>10465000</v>
      </c>
    </row>
    <row r="629" spans="1:20" x14ac:dyDescent="0.25">
      <c r="A629" t="s">
        <v>65</v>
      </c>
      <c r="B629" t="s">
        <v>66</v>
      </c>
      <c r="C629" t="s">
        <v>62</v>
      </c>
      <c r="D629" t="s">
        <v>130</v>
      </c>
      <c r="E629" t="s">
        <v>128</v>
      </c>
      <c r="F629" t="s">
        <v>129</v>
      </c>
      <c r="G629" t="s">
        <v>26</v>
      </c>
      <c r="H629">
        <v>952</v>
      </c>
      <c r="I629">
        <v>14308.56</v>
      </c>
      <c r="J629">
        <v>1020.55</v>
      </c>
      <c r="K629">
        <v>7.13</v>
      </c>
      <c r="L629">
        <v>1603.96</v>
      </c>
      <c r="M629">
        <v>11.21</v>
      </c>
      <c r="N629">
        <v>10.65</v>
      </c>
      <c r="O629">
        <v>28.4</v>
      </c>
      <c r="P629">
        <v>24.22</v>
      </c>
      <c r="Q629">
        <v>85.16</v>
      </c>
      <c r="R629">
        <v>97.52</v>
      </c>
      <c r="S629">
        <v>115000</v>
      </c>
      <c r="T629">
        <v>10465000</v>
      </c>
    </row>
    <row r="630" spans="1:20" x14ac:dyDescent="0.25">
      <c r="A630" t="s">
        <v>67</v>
      </c>
      <c r="B630" t="s">
        <v>68</v>
      </c>
      <c r="C630" t="s">
        <v>69</v>
      </c>
      <c r="D630" t="s">
        <v>130</v>
      </c>
      <c r="E630" t="s">
        <v>128</v>
      </c>
      <c r="F630" t="s">
        <v>129</v>
      </c>
      <c r="G630" t="s">
        <v>26</v>
      </c>
      <c r="H630">
        <v>952</v>
      </c>
      <c r="I630">
        <v>12977.49</v>
      </c>
      <c r="J630">
        <v>941.43</v>
      </c>
      <c r="K630">
        <v>7.25</v>
      </c>
      <c r="L630">
        <v>1718.32</v>
      </c>
      <c r="M630">
        <v>13.24</v>
      </c>
      <c r="N630">
        <v>9.11</v>
      </c>
      <c r="O630">
        <v>39.4</v>
      </c>
      <c r="P630">
        <v>0</v>
      </c>
      <c r="Q630">
        <v>78.33</v>
      </c>
      <c r="R630">
        <v>89.96</v>
      </c>
      <c r="S630">
        <v>115000</v>
      </c>
      <c r="T630">
        <v>10465000</v>
      </c>
    </row>
    <row r="631" spans="1:20" x14ac:dyDescent="0.25">
      <c r="A631" t="s">
        <v>70</v>
      </c>
      <c r="B631" t="s">
        <v>71</v>
      </c>
      <c r="C631" t="s">
        <v>69</v>
      </c>
      <c r="D631" t="s">
        <v>130</v>
      </c>
      <c r="E631" t="s">
        <v>128</v>
      </c>
      <c r="F631" t="s">
        <v>129</v>
      </c>
      <c r="G631" t="s">
        <v>26</v>
      </c>
      <c r="H631">
        <v>952</v>
      </c>
      <c r="I631">
        <v>13773.44</v>
      </c>
      <c r="J631">
        <v>1036.24</v>
      </c>
      <c r="K631">
        <v>7.52</v>
      </c>
      <c r="L631">
        <v>1201.5899999999999</v>
      </c>
      <c r="M631">
        <v>8.7200000000000006</v>
      </c>
      <c r="N631">
        <v>9.01</v>
      </c>
      <c r="O631">
        <v>39.799999999999997</v>
      </c>
      <c r="P631">
        <v>41.33</v>
      </c>
      <c r="Q631">
        <v>84.61</v>
      </c>
      <c r="R631">
        <v>99.02</v>
      </c>
      <c r="S631">
        <v>115000</v>
      </c>
      <c r="T631">
        <v>10465000</v>
      </c>
    </row>
    <row r="632" spans="1:20" x14ac:dyDescent="0.25">
      <c r="A632" t="s">
        <v>72</v>
      </c>
      <c r="B632" t="s">
        <v>73</v>
      </c>
      <c r="C632" t="s">
        <v>69</v>
      </c>
      <c r="D632" t="s">
        <v>130</v>
      </c>
      <c r="E632" t="s">
        <v>128</v>
      </c>
      <c r="F632" t="s">
        <v>129</v>
      </c>
      <c r="G632" t="s">
        <v>26</v>
      </c>
      <c r="H632">
        <v>952</v>
      </c>
      <c r="I632">
        <v>14007.89</v>
      </c>
      <c r="J632">
        <v>1065.1300000000001</v>
      </c>
      <c r="K632">
        <v>7.6</v>
      </c>
      <c r="L632">
        <v>1844.2</v>
      </c>
      <c r="M632">
        <v>13.17</v>
      </c>
      <c r="N632">
        <v>8.81</v>
      </c>
      <c r="O632">
        <v>16.600000000000001</v>
      </c>
      <c r="P632">
        <v>23.14</v>
      </c>
      <c r="Q632">
        <v>84.06</v>
      </c>
      <c r="R632">
        <v>101.78</v>
      </c>
      <c r="S632">
        <v>115000</v>
      </c>
      <c r="T632">
        <v>10465000</v>
      </c>
    </row>
    <row r="633" spans="1:20" x14ac:dyDescent="0.25">
      <c r="A633" t="s">
        <v>74</v>
      </c>
      <c r="B633" t="s">
        <v>75</v>
      </c>
      <c r="C633" t="s">
        <v>69</v>
      </c>
      <c r="D633" t="s">
        <v>130</v>
      </c>
      <c r="E633" t="s">
        <v>128</v>
      </c>
      <c r="F633" t="s">
        <v>129</v>
      </c>
      <c r="G633" t="s">
        <v>26</v>
      </c>
      <c r="H633">
        <v>952</v>
      </c>
      <c r="I633">
        <v>14109.26</v>
      </c>
      <c r="J633">
        <v>983.5</v>
      </c>
      <c r="K633">
        <v>6.97</v>
      </c>
      <c r="L633">
        <v>1658.05</v>
      </c>
      <c r="M633">
        <v>11.75</v>
      </c>
      <c r="N633">
        <v>9.15</v>
      </c>
      <c r="O633">
        <v>12</v>
      </c>
      <c r="P633">
        <v>5.22</v>
      </c>
      <c r="Q633">
        <v>80.400000000000006</v>
      </c>
      <c r="R633">
        <v>93.98</v>
      </c>
      <c r="S633">
        <v>115000</v>
      </c>
      <c r="T633">
        <v>10465000</v>
      </c>
    </row>
    <row r="634" spans="1:20" x14ac:dyDescent="0.25">
      <c r="A634" t="s">
        <v>76</v>
      </c>
      <c r="B634" t="s">
        <v>77</v>
      </c>
      <c r="C634" t="s">
        <v>69</v>
      </c>
      <c r="D634" t="s">
        <v>130</v>
      </c>
      <c r="E634" t="s">
        <v>128</v>
      </c>
      <c r="F634" t="s">
        <v>129</v>
      </c>
      <c r="G634" t="s">
        <v>26</v>
      </c>
      <c r="H634">
        <v>952</v>
      </c>
      <c r="I634">
        <v>13394.5</v>
      </c>
      <c r="J634">
        <v>1177.52</v>
      </c>
      <c r="K634">
        <v>8.7899999999999991</v>
      </c>
      <c r="L634">
        <v>620.04999999999995</v>
      </c>
      <c r="M634">
        <v>4.63</v>
      </c>
      <c r="N634">
        <v>9.64</v>
      </c>
      <c r="O634">
        <v>43.5</v>
      </c>
      <c r="P634">
        <v>128.16999999999999</v>
      </c>
      <c r="Q634">
        <v>94.78</v>
      </c>
      <c r="R634">
        <v>112.52</v>
      </c>
      <c r="S634">
        <v>115000</v>
      </c>
      <c r="T634">
        <v>10465000</v>
      </c>
    </row>
    <row r="635" spans="1:20" x14ac:dyDescent="0.25">
      <c r="A635" t="s">
        <v>78</v>
      </c>
      <c r="B635" t="s">
        <v>79</v>
      </c>
      <c r="C635" t="s">
        <v>80</v>
      </c>
      <c r="D635" t="s">
        <v>130</v>
      </c>
      <c r="E635" t="s">
        <v>128</v>
      </c>
      <c r="F635" t="s">
        <v>129</v>
      </c>
      <c r="G635" t="s">
        <v>26</v>
      </c>
      <c r="H635">
        <v>952</v>
      </c>
      <c r="I635">
        <v>14252.44</v>
      </c>
      <c r="J635">
        <v>1062.6199999999999</v>
      </c>
      <c r="K635">
        <v>7.46</v>
      </c>
      <c r="L635">
        <v>1183.02</v>
      </c>
      <c r="M635">
        <v>8.3000000000000007</v>
      </c>
      <c r="N635">
        <v>10.07</v>
      </c>
      <c r="O635">
        <v>62</v>
      </c>
      <c r="P635">
        <v>84.48</v>
      </c>
      <c r="Q635">
        <v>85.13</v>
      </c>
      <c r="R635">
        <v>101.54</v>
      </c>
      <c r="S635">
        <v>115000</v>
      </c>
      <c r="T635">
        <v>10465000</v>
      </c>
    </row>
    <row r="636" spans="1:20" x14ac:dyDescent="0.25">
      <c r="A636" t="s">
        <v>81</v>
      </c>
      <c r="B636" t="s">
        <v>82</v>
      </c>
      <c r="C636" t="s">
        <v>80</v>
      </c>
      <c r="D636" t="s">
        <v>130</v>
      </c>
      <c r="E636" t="s">
        <v>128</v>
      </c>
      <c r="F636" t="s">
        <v>129</v>
      </c>
      <c r="G636" t="s">
        <v>26</v>
      </c>
      <c r="H636">
        <v>952</v>
      </c>
      <c r="I636">
        <v>14427.1</v>
      </c>
      <c r="J636">
        <v>1260.3</v>
      </c>
      <c r="K636">
        <v>8.74</v>
      </c>
      <c r="L636">
        <v>679.63</v>
      </c>
      <c r="M636">
        <v>4.71</v>
      </c>
      <c r="N636">
        <v>8.94</v>
      </c>
      <c r="O636">
        <v>62.4</v>
      </c>
      <c r="P636">
        <v>265.89999999999998</v>
      </c>
      <c r="Q636">
        <v>101.77</v>
      </c>
      <c r="R636">
        <v>120.43</v>
      </c>
      <c r="S636">
        <v>115000</v>
      </c>
      <c r="T636">
        <v>10465000</v>
      </c>
    </row>
    <row r="637" spans="1:20" x14ac:dyDescent="0.25">
      <c r="A637" t="s">
        <v>83</v>
      </c>
      <c r="B637" t="s">
        <v>84</v>
      </c>
      <c r="C637" t="s">
        <v>80</v>
      </c>
      <c r="D637" t="s">
        <v>130</v>
      </c>
      <c r="E637" t="s">
        <v>128</v>
      </c>
      <c r="F637" t="s">
        <v>129</v>
      </c>
      <c r="G637" t="s">
        <v>26</v>
      </c>
      <c r="H637">
        <v>952</v>
      </c>
      <c r="I637">
        <v>13688.01</v>
      </c>
      <c r="J637">
        <v>1174.3800000000001</v>
      </c>
      <c r="K637">
        <v>8.58</v>
      </c>
      <c r="L637">
        <v>1506.23</v>
      </c>
      <c r="M637">
        <v>11</v>
      </c>
      <c r="N637">
        <v>10.19</v>
      </c>
      <c r="O637">
        <v>28.2</v>
      </c>
      <c r="P637">
        <v>81.760000000000005</v>
      </c>
      <c r="Q637">
        <v>93.24</v>
      </c>
      <c r="R637">
        <v>112.22</v>
      </c>
      <c r="S637">
        <v>115000</v>
      </c>
      <c r="T637">
        <v>10465000</v>
      </c>
    </row>
    <row r="638" spans="1:20" x14ac:dyDescent="0.25">
      <c r="A638" t="s">
        <v>85</v>
      </c>
      <c r="B638" t="s">
        <v>86</v>
      </c>
      <c r="C638" t="s">
        <v>80</v>
      </c>
      <c r="D638" t="s">
        <v>130</v>
      </c>
      <c r="E638" t="s">
        <v>128</v>
      </c>
      <c r="F638" t="s">
        <v>129</v>
      </c>
      <c r="G638" t="s">
        <v>26</v>
      </c>
      <c r="H638">
        <v>952</v>
      </c>
      <c r="I638">
        <v>13522.8</v>
      </c>
      <c r="J638">
        <v>1168.6300000000001</v>
      </c>
      <c r="K638">
        <v>8.64</v>
      </c>
      <c r="L638">
        <v>766.72</v>
      </c>
      <c r="M638">
        <v>5.67</v>
      </c>
      <c r="N638">
        <v>10.06</v>
      </c>
      <c r="O638">
        <v>42.1</v>
      </c>
      <c r="P638">
        <v>118.46</v>
      </c>
      <c r="Q638">
        <v>99.34</v>
      </c>
      <c r="R638">
        <v>111.67</v>
      </c>
      <c r="S638">
        <v>115000</v>
      </c>
      <c r="T638">
        <v>10465000</v>
      </c>
    </row>
    <row r="639" spans="1:20" x14ac:dyDescent="0.25">
      <c r="A639" t="s">
        <v>87</v>
      </c>
      <c r="B639" t="s">
        <v>88</v>
      </c>
      <c r="C639" t="s">
        <v>89</v>
      </c>
      <c r="D639" t="s">
        <v>130</v>
      </c>
      <c r="E639" t="s">
        <v>128</v>
      </c>
      <c r="F639" t="s">
        <v>129</v>
      </c>
      <c r="G639" t="s">
        <v>26</v>
      </c>
      <c r="H639">
        <v>952</v>
      </c>
      <c r="I639">
        <v>9881.52</v>
      </c>
      <c r="J639">
        <v>1536.26</v>
      </c>
      <c r="K639">
        <v>15.55</v>
      </c>
      <c r="L639">
        <v>-1364.06</v>
      </c>
      <c r="M639">
        <v>-13.8</v>
      </c>
      <c r="N639">
        <v>6.56</v>
      </c>
      <c r="O639">
        <v>9.6</v>
      </c>
      <c r="P639">
        <v>93.08</v>
      </c>
      <c r="Q639">
        <v>130.88</v>
      </c>
      <c r="R639">
        <v>146.80000000000001</v>
      </c>
      <c r="S639">
        <v>115000</v>
      </c>
      <c r="T639">
        <v>10465000</v>
      </c>
    </row>
    <row r="640" spans="1:20" x14ac:dyDescent="0.25">
      <c r="A640" t="s">
        <v>20</v>
      </c>
      <c r="B640" t="s">
        <v>21</v>
      </c>
      <c r="C640" t="s">
        <v>22</v>
      </c>
      <c r="D640" t="s">
        <v>131</v>
      </c>
      <c r="E640" t="s">
        <v>128</v>
      </c>
      <c r="F640" t="s">
        <v>129</v>
      </c>
      <c r="G640" t="s">
        <v>26</v>
      </c>
      <c r="H640">
        <v>997</v>
      </c>
      <c r="I640">
        <v>14117.82</v>
      </c>
      <c r="J640">
        <v>848.35</v>
      </c>
      <c r="K640">
        <v>6.01</v>
      </c>
      <c r="L640">
        <v>1354.26</v>
      </c>
      <c r="M640">
        <v>9.59</v>
      </c>
      <c r="N640">
        <v>9.5399999999999991</v>
      </c>
      <c r="O640">
        <v>51.3</v>
      </c>
      <c r="P640">
        <v>0</v>
      </c>
      <c r="Q640">
        <v>63</v>
      </c>
      <c r="R640">
        <v>74.58</v>
      </c>
      <c r="S640">
        <v>125000</v>
      </c>
      <c r="T640">
        <v>11375000</v>
      </c>
    </row>
    <row r="641" spans="1:20" x14ac:dyDescent="0.25">
      <c r="A641" t="s">
        <v>27</v>
      </c>
      <c r="B641" t="s">
        <v>28</v>
      </c>
      <c r="C641" t="s">
        <v>22</v>
      </c>
      <c r="D641" t="s">
        <v>131</v>
      </c>
      <c r="E641" t="s">
        <v>128</v>
      </c>
      <c r="F641" t="s">
        <v>129</v>
      </c>
      <c r="G641" t="s">
        <v>26</v>
      </c>
      <c r="H641">
        <v>997</v>
      </c>
      <c r="I641">
        <v>14242.45</v>
      </c>
      <c r="J641">
        <v>834.24</v>
      </c>
      <c r="K641">
        <v>5.86</v>
      </c>
      <c r="L641">
        <v>1874.07</v>
      </c>
      <c r="M641">
        <v>13.16</v>
      </c>
      <c r="N641">
        <v>9.5399999999999991</v>
      </c>
      <c r="O641">
        <v>13.3</v>
      </c>
      <c r="P641">
        <v>0</v>
      </c>
      <c r="Q641">
        <v>64.790000000000006</v>
      </c>
      <c r="R641">
        <v>73.34</v>
      </c>
      <c r="S641">
        <v>125000</v>
      </c>
      <c r="T641">
        <v>11375000</v>
      </c>
    </row>
    <row r="642" spans="1:20" x14ac:dyDescent="0.25">
      <c r="A642" t="s">
        <v>29</v>
      </c>
      <c r="B642" t="s">
        <v>30</v>
      </c>
      <c r="C642" t="s">
        <v>22</v>
      </c>
      <c r="D642" t="s">
        <v>131</v>
      </c>
      <c r="E642" t="s">
        <v>128</v>
      </c>
      <c r="F642" t="s">
        <v>129</v>
      </c>
      <c r="G642" t="s">
        <v>26</v>
      </c>
      <c r="H642">
        <v>997</v>
      </c>
      <c r="I642">
        <v>14554.03</v>
      </c>
      <c r="J642">
        <v>808.88</v>
      </c>
      <c r="K642">
        <v>5.56</v>
      </c>
      <c r="L642">
        <v>1926.02</v>
      </c>
      <c r="M642">
        <v>13.23</v>
      </c>
      <c r="N642">
        <v>9.67</v>
      </c>
      <c r="O642">
        <v>56.9</v>
      </c>
      <c r="P642">
        <v>0</v>
      </c>
      <c r="Q642">
        <v>60.46</v>
      </c>
      <c r="R642">
        <v>71.11</v>
      </c>
      <c r="S642">
        <v>125000</v>
      </c>
      <c r="T642">
        <v>11375000</v>
      </c>
    </row>
    <row r="643" spans="1:20" x14ac:dyDescent="0.25">
      <c r="A643" t="s">
        <v>31</v>
      </c>
      <c r="B643" t="s">
        <v>32</v>
      </c>
      <c r="C643" t="s">
        <v>22</v>
      </c>
      <c r="D643" t="s">
        <v>131</v>
      </c>
      <c r="E643" t="s">
        <v>128</v>
      </c>
      <c r="F643" t="s">
        <v>129</v>
      </c>
      <c r="G643" t="s">
        <v>26</v>
      </c>
      <c r="H643">
        <v>997</v>
      </c>
      <c r="I643">
        <v>14076.28</v>
      </c>
      <c r="J643">
        <v>875.53</v>
      </c>
      <c r="K643">
        <v>6.22</v>
      </c>
      <c r="L643">
        <v>1849.57</v>
      </c>
      <c r="M643">
        <v>13.14</v>
      </c>
      <c r="N643">
        <v>9.26</v>
      </c>
      <c r="O643">
        <v>60.8</v>
      </c>
      <c r="P643">
        <v>0</v>
      </c>
      <c r="Q643">
        <v>65.66</v>
      </c>
      <c r="R643">
        <v>76.97</v>
      </c>
      <c r="S643">
        <v>125000</v>
      </c>
      <c r="T643">
        <v>11375000</v>
      </c>
    </row>
    <row r="644" spans="1:20" x14ac:dyDescent="0.25">
      <c r="A644" t="s">
        <v>33</v>
      </c>
      <c r="B644" t="s">
        <v>34</v>
      </c>
      <c r="C644" t="s">
        <v>22</v>
      </c>
      <c r="D644" t="s">
        <v>131</v>
      </c>
      <c r="E644" t="s">
        <v>128</v>
      </c>
      <c r="F644" t="s">
        <v>129</v>
      </c>
      <c r="G644" t="s">
        <v>26</v>
      </c>
      <c r="H644">
        <v>997</v>
      </c>
      <c r="I644">
        <v>15407.56</v>
      </c>
      <c r="J644">
        <v>857.45</v>
      </c>
      <c r="K644">
        <v>5.57</v>
      </c>
      <c r="L644">
        <v>1633.15</v>
      </c>
      <c r="M644">
        <v>10.6</v>
      </c>
      <c r="N644">
        <v>10.63</v>
      </c>
      <c r="O644">
        <v>13.7</v>
      </c>
      <c r="P644">
        <v>0</v>
      </c>
      <c r="Q644">
        <v>66.66</v>
      </c>
      <c r="R644">
        <v>75.38</v>
      </c>
      <c r="S644">
        <v>125000</v>
      </c>
      <c r="T644">
        <v>11375000</v>
      </c>
    </row>
    <row r="645" spans="1:20" x14ac:dyDescent="0.25">
      <c r="A645" t="s">
        <v>35</v>
      </c>
      <c r="B645" t="s">
        <v>36</v>
      </c>
      <c r="C645" t="s">
        <v>37</v>
      </c>
      <c r="D645" t="s">
        <v>131</v>
      </c>
      <c r="E645" t="s">
        <v>128</v>
      </c>
      <c r="F645" t="s">
        <v>129</v>
      </c>
      <c r="G645" t="s">
        <v>26</v>
      </c>
      <c r="H645">
        <v>997</v>
      </c>
      <c r="I645">
        <v>3923.21</v>
      </c>
      <c r="J645">
        <v>269.47000000000003</v>
      </c>
      <c r="K645">
        <v>6.87</v>
      </c>
      <c r="L645">
        <v>-1226.5</v>
      </c>
      <c r="M645">
        <v>-31.26</v>
      </c>
      <c r="N645">
        <v>2.5299999999999998</v>
      </c>
      <c r="O645">
        <v>32.9</v>
      </c>
      <c r="P645">
        <v>0</v>
      </c>
      <c r="Q645">
        <v>20.57</v>
      </c>
      <c r="R645">
        <v>23.69</v>
      </c>
      <c r="S645">
        <v>125000</v>
      </c>
      <c r="T645">
        <v>11375000</v>
      </c>
    </row>
    <row r="646" spans="1:20" x14ac:dyDescent="0.25">
      <c r="A646" t="s">
        <v>38</v>
      </c>
      <c r="B646" t="s">
        <v>39</v>
      </c>
      <c r="C646" t="s">
        <v>37</v>
      </c>
      <c r="D646" t="s">
        <v>131</v>
      </c>
      <c r="E646" t="s">
        <v>128</v>
      </c>
      <c r="F646" t="s">
        <v>129</v>
      </c>
      <c r="G646" t="s">
        <v>26</v>
      </c>
      <c r="H646">
        <v>997</v>
      </c>
      <c r="I646">
        <v>4869.5200000000004</v>
      </c>
      <c r="J646">
        <v>573.64</v>
      </c>
      <c r="K646">
        <v>11.78</v>
      </c>
      <c r="L646">
        <v>-2184.8200000000002</v>
      </c>
      <c r="M646">
        <v>-44.87</v>
      </c>
      <c r="N646">
        <v>3.19</v>
      </c>
      <c r="O646">
        <v>21.7</v>
      </c>
      <c r="P646">
        <v>0</v>
      </c>
      <c r="Q646">
        <v>44.05</v>
      </c>
      <c r="R646">
        <v>50.43</v>
      </c>
      <c r="S646">
        <v>125000</v>
      </c>
      <c r="T646">
        <v>11375000</v>
      </c>
    </row>
    <row r="647" spans="1:20" x14ac:dyDescent="0.25">
      <c r="A647" t="s">
        <v>40</v>
      </c>
      <c r="B647" t="s">
        <v>41</v>
      </c>
      <c r="C647" t="s">
        <v>37</v>
      </c>
      <c r="D647" t="s">
        <v>131</v>
      </c>
      <c r="E647" t="s">
        <v>128</v>
      </c>
      <c r="F647" t="s">
        <v>129</v>
      </c>
      <c r="G647" t="s">
        <v>26</v>
      </c>
      <c r="H647">
        <v>997</v>
      </c>
      <c r="I647">
        <v>4962.57</v>
      </c>
      <c r="J647">
        <v>519.38</v>
      </c>
      <c r="K647">
        <v>10.47</v>
      </c>
      <c r="L647">
        <v>-1024.9000000000001</v>
      </c>
      <c r="M647">
        <v>-20.65</v>
      </c>
      <c r="N647">
        <v>3.37</v>
      </c>
      <c r="O647">
        <v>35.799999999999997</v>
      </c>
      <c r="P647">
        <v>0</v>
      </c>
      <c r="Q647">
        <v>39.950000000000003</v>
      </c>
      <c r="R647">
        <v>45.66</v>
      </c>
      <c r="S647">
        <v>125000</v>
      </c>
      <c r="T647">
        <v>11375000</v>
      </c>
    </row>
    <row r="648" spans="1:20" x14ac:dyDescent="0.25">
      <c r="A648" t="s">
        <v>42</v>
      </c>
      <c r="B648" t="s">
        <v>43</v>
      </c>
      <c r="C648" t="s">
        <v>37</v>
      </c>
      <c r="D648" t="s">
        <v>131</v>
      </c>
      <c r="E648" t="s">
        <v>128</v>
      </c>
      <c r="F648" t="s">
        <v>129</v>
      </c>
      <c r="G648" t="s">
        <v>26</v>
      </c>
      <c r="H648">
        <v>997</v>
      </c>
      <c r="I648">
        <v>4794.32</v>
      </c>
      <c r="J648">
        <v>975.63</v>
      </c>
      <c r="K648">
        <v>20.350000000000001</v>
      </c>
      <c r="L648">
        <v>-2149.6</v>
      </c>
      <c r="M648">
        <v>-44.84</v>
      </c>
      <c r="N648">
        <v>3.24</v>
      </c>
      <c r="O648">
        <v>1.6</v>
      </c>
      <c r="P648">
        <v>0</v>
      </c>
      <c r="Q648">
        <v>75.489999999999995</v>
      </c>
      <c r="R648">
        <v>85.77</v>
      </c>
      <c r="S648">
        <v>125000</v>
      </c>
      <c r="T648">
        <v>11375000</v>
      </c>
    </row>
    <row r="649" spans="1:20" x14ac:dyDescent="0.25">
      <c r="A649" t="s">
        <v>44</v>
      </c>
      <c r="B649" t="s">
        <v>45</v>
      </c>
      <c r="C649" t="s">
        <v>37</v>
      </c>
      <c r="D649" t="s">
        <v>131</v>
      </c>
      <c r="E649" t="s">
        <v>128</v>
      </c>
      <c r="F649" t="s">
        <v>129</v>
      </c>
      <c r="G649" t="s">
        <v>26</v>
      </c>
      <c r="H649">
        <v>997</v>
      </c>
      <c r="I649">
        <v>4982.67</v>
      </c>
      <c r="J649">
        <v>1034.21</v>
      </c>
      <c r="K649">
        <v>20.76</v>
      </c>
      <c r="L649">
        <v>-1843.39</v>
      </c>
      <c r="M649">
        <v>-37</v>
      </c>
      <c r="N649">
        <v>3.34</v>
      </c>
      <c r="O649">
        <v>27.1</v>
      </c>
      <c r="P649">
        <v>2.87</v>
      </c>
      <c r="Q649">
        <v>76.83</v>
      </c>
      <c r="R649">
        <v>90.92</v>
      </c>
      <c r="S649">
        <v>125000</v>
      </c>
      <c r="T649">
        <v>11375000</v>
      </c>
    </row>
    <row r="650" spans="1:20" x14ac:dyDescent="0.25">
      <c r="A650" t="s">
        <v>46</v>
      </c>
      <c r="B650" t="s">
        <v>47</v>
      </c>
      <c r="C650" t="s">
        <v>48</v>
      </c>
      <c r="D650" t="s">
        <v>131</v>
      </c>
      <c r="E650" t="s">
        <v>128</v>
      </c>
      <c r="F650" t="s">
        <v>129</v>
      </c>
      <c r="G650" t="s">
        <v>26</v>
      </c>
      <c r="H650">
        <v>997</v>
      </c>
      <c r="I650">
        <v>12016.51</v>
      </c>
      <c r="J650">
        <v>1022.84</v>
      </c>
      <c r="K650">
        <v>8.51</v>
      </c>
      <c r="L650">
        <v>961.04</v>
      </c>
      <c r="M650">
        <v>8</v>
      </c>
      <c r="N650">
        <v>7.32</v>
      </c>
      <c r="O650">
        <v>47.6</v>
      </c>
      <c r="P650">
        <v>0</v>
      </c>
      <c r="Q650">
        <v>78.97</v>
      </c>
      <c r="R650">
        <v>89.92</v>
      </c>
      <c r="S650">
        <v>125000</v>
      </c>
      <c r="T650">
        <v>11375000</v>
      </c>
    </row>
    <row r="651" spans="1:20" x14ac:dyDescent="0.25">
      <c r="A651" t="s">
        <v>49</v>
      </c>
      <c r="B651" t="s">
        <v>50</v>
      </c>
      <c r="C651" t="s">
        <v>48</v>
      </c>
      <c r="D651" t="s">
        <v>131</v>
      </c>
      <c r="E651" t="s">
        <v>128</v>
      </c>
      <c r="F651" t="s">
        <v>129</v>
      </c>
      <c r="G651" t="s">
        <v>26</v>
      </c>
      <c r="H651">
        <v>997</v>
      </c>
      <c r="I651">
        <v>10492.2</v>
      </c>
      <c r="J651">
        <v>1185.8399999999999</v>
      </c>
      <c r="K651">
        <v>11.3</v>
      </c>
      <c r="L651">
        <v>-334.92</v>
      </c>
      <c r="M651">
        <v>-3.19</v>
      </c>
      <c r="N651">
        <v>6.87</v>
      </c>
      <c r="O651">
        <v>64.900000000000006</v>
      </c>
      <c r="P651">
        <v>121.86</v>
      </c>
      <c r="Q651">
        <v>86.82</v>
      </c>
      <c r="R651">
        <v>104.25</v>
      </c>
      <c r="S651">
        <v>125000</v>
      </c>
      <c r="T651">
        <v>11375000</v>
      </c>
    </row>
    <row r="652" spans="1:20" x14ac:dyDescent="0.25">
      <c r="A652" t="s">
        <v>51</v>
      </c>
      <c r="B652" t="s">
        <v>52</v>
      </c>
      <c r="C652" t="s">
        <v>48</v>
      </c>
      <c r="D652" t="s">
        <v>131</v>
      </c>
      <c r="E652" t="s">
        <v>128</v>
      </c>
      <c r="F652" t="s">
        <v>129</v>
      </c>
      <c r="G652" t="s">
        <v>26</v>
      </c>
      <c r="H652">
        <v>997</v>
      </c>
      <c r="I652">
        <v>10461.950000000001</v>
      </c>
      <c r="J652">
        <v>926.38</v>
      </c>
      <c r="K652">
        <v>8.85</v>
      </c>
      <c r="L652">
        <v>-145.82</v>
      </c>
      <c r="M652">
        <v>-1.39</v>
      </c>
      <c r="N652">
        <v>7.46</v>
      </c>
      <c r="O652">
        <v>56.4</v>
      </c>
      <c r="P652">
        <v>0</v>
      </c>
      <c r="Q652">
        <v>72.010000000000005</v>
      </c>
      <c r="R652">
        <v>81.44</v>
      </c>
      <c r="S652">
        <v>125000</v>
      </c>
      <c r="T652">
        <v>11375000</v>
      </c>
    </row>
    <row r="653" spans="1:20" x14ac:dyDescent="0.25">
      <c r="A653" t="s">
        <v>53</v>
      </c>
      <c r="B653" t="s">
        <v>54</v>
      </c>
      <c r="C653" t="s">
        <v>55</v>
      </c>
      <c r="D653" t="s">
        <v>131</v>
      </c>
      <c r="E653" t="s">
        <v>128</v>
      </c>
      <c r="F653" t="s">
        <v>129</v>
      </c>
      <c r="G653" t="s">
        <v>26</v>
      </c>
      <c r="H653">
        <v>997</v>
      </c>
      <c r="I653">
        <v>14032.72</v>
      </c>
      <c r="J653">
        <v>1497.29</v>
      </c>
      <c r="K653">
        <v>10.67</v>
      </c>
      <c r="L653">
        <v>615.95000000000005</v>
      </c>
      <c r="M653">
        <v>4.3899999999999997</v>
      </c>
      <c r="N653">
        <v>9.64</v>
      </c>
      <c r="O653">
        <v>13.3</v>
      </c>
      <c r="P653">
        <v>92.11</v>
      </c>
      <c r="Q653">
        <v>109.53</v>
      </c>
      <c r="R653">
        <v>131.63</v>
      </c>
      <c r="S653">
        <v>125000</v>
      </c>
      <c r="T653">
        <v>11375000</v>
      </c>
    </row>
    <row r="654" spans="1:20" x14ac:dyDescent="0.25">
      <c r="A654" t="s">
        <v>56</v>
      </c>
      <c r="B654" t="s">
        <v>57</v>
      </c>
      <c r="C654" t="s">
        <v>55</v>
      </c>
      <c r="D654" t="s">
        <v>131</v>
      </c>
      <c r="E654" t="s">
        <v>128</v>
      </c>
      <c r="F654" t="s">
        <v>129</v>
      </c>
      <c r="G654" t="s">
        <v>26</v>
      </c>
      <c r="H654">
        <v>997</v>
      </c>
      <c r="I654">
        <v>14452.69</v>
      </c>
      <c r="J654">
        <v>1074.82</v>
      </c>
      <c r="K654">
        <v>7.44</v>
      </c>
      <c r="L654">
        <v>452.48</v>
      </c>
      <c r="M654">
        <v>3.13</v>
      </c>
      <c r="N654">
        <v>9.26</v>
      </c>
      <c r="O654">
        <v>19.3</v>
      </c>
      <c r="P654">
        <v>10.35</v>
      </c>
      <c r="Q654">
        <v>80.69</v>
      </c>
      <c r="R654">
        <v>94.49</v>
      </c>
      <c r="S654">
        <v>125000</v>
      </c>
      <c r="T654">
        <v>11375000</v>
      </c>
    </row>
    <row r="655" spans="1:20" x14ac:dyDescent="0.25">
      <c r="A655" t="s">
        <v>58</v>
      </c>
      <c r="B655" t="s">
        <v>59</v>
      </c>
      <c r="C655" t="s">
        <v>55</v>
      </c>
      <c r="D655" t="s">
        <v>131</v>
      </c>
      <c r="E655" t="s">
        <v>128</v>
      </c>
      <c r="F655" t="s">
        <v>129</v>
      </c>
      <c r="G655" t="s">
        <v>26</v>
      </c>
      <c r="H655">
        <v>997</v>
      </c>
      <c r="I655">
        <v>15065.21</v>
      </c>
      <c r="J655">
        <v>1200.74</v>
      </c>
      <c r="K655">
        <v>7.97</v>
      </c>
      <c r="L655">
        <v>641.5</v>
      </c>
      <c r="M655">
        <v>4.26</v>
      </c>
      <c r="N655">
        <v>10.85</v>
      </c>
      <c r="O655">
        <v>63.9</v>
      </c>
      <c r="P655">
        <v>132.65</v>
      </c>
      <c r="Q655">
        <v>93.25</v>
      </c>
      <c r="R655">
        <v>105.56</v>
      </c>
      <c r="S655">
        <v>125000</v>
      </c>
      <c r="T655">
        <v>11375000</v>
      </c>
    </row>
    <row r="656" spans="1:20" x14ac:dyDescent="0.25">
      <c r="A656" t="s">
        <v>60</v>
      </c>
      <c r="B656" t="s">
        <v>61</v>
      </c>
      <c r="C656" t="s">
        <v>62</v>
      </c>
      <c r="D656" t="s">
        <v>131</v>
      </c>
      <c r="E656" t="s">
        <v>128</v>
      </c>
      <c r="F656" t="s">
        <v>129</v>
      </c>
      <c r="G656" t="s">
        <v>26</v>
      </c>
      <c r="H656">
        <v>997</v>
      </c>
      <c r="I656">
        <v>13927.8</v>
      </c>
      <c r="J656">
        <v>1104.8499999999999</v>
      </c>
      <c r="K656">
        <v>7.93</v>
      </c>
      <c r="L656">
        <v>1110.95</v>
      </c>
      <c r="M656">
        <v>7.98</v>
      </c>
      <c r="N656">
        <v>8.92</v>
      </c>
      <c r="O656">
        <v>22.9</v>
      </c>
      <c r="P656">
        <v>20.04</v>
      </c>
      <c r="Q656">
        <v>84.29</v>
      </c>
      <c r="R656">
        <v>97.13</v>
      </c>
      <c r="S656">
        <v>125000</v>
      </c>
      <c r="T656">
        <v>11375000</v>
      </c>
    </row>
    <row r="657" spans="1:20" x14ac:dyDescent="0.25">
      <c r="A657" t="s">
        <v>63</v>
      </c>
      <c r="B657" t="s">
        <v>64</v>
      </c>
      <c r="C657" t="s">
        <v>62</v>
      </c>
      <c r="D657" t="s">
        <v>131</v>
      </c>
      <c r="E657" t="s">
        <v>128</v>
      </c>
      <c r="F657" t="s">
        <v>129</v>
      </c>
      <c r="G657" t="s">
        <v>26</v>
      </c>
      <c r="H657">
        <v>997</v>
      </c>
      <c r="I657">
        <v>14275.19</v>
      </c>
      <c r="J657">
        <v>1159.9100000000001</v>
      </c>
      <c r="K657">
        <v>8.1300000000000008</v>
      </c>
      <c r="L657">
        <v>1117.27</v>
      </c>
      <c r="M657">
        <v>7.83</v>
      </c>
      <c r="N657">
        <v>8.84</v>
      </c>
      <c r="O657">
        <v>18.2</v>
      </c>
      <c r="P657">
        <v>28.08</v>
      </c>
      <c r="Q657">
        <v>88.18</v>
      </c>
      <c r="R657">
        <v>101.97</v>
      </c>
      <c r="S657">
        <v>125000</v>
      </c>
      <c r="T657">
        <v>11375000</v>
      </c>
    </row>
    <row r="658" spans="1:20" x14ac:dyDescent="0.25">
      <c r="A658" t="s">
        <v>65</v>
      </c>
      <c r="B658" t="s">
        <v>66</v>
      </c>
      <c r="C658" t="s">
        <v>62</v>
      </c>
      <c r="D658" t="s">
        <v>131</v>
      </c>
      <c r="E658" t="s">
        <v>128</v>
      </c>
      <c r="F658" t="s">
        <v>129</v>
      </c>
      <c r="G658" t="s">
        <v>26</v>
      </c>
      <c r="H658">
        <v>997</v>
      </c>
      <c r="I658">
        <v>15184.64</v>
      </c>
      <c r="J658">
        <v>1109.29</v>
      </c>
      <c r="K658">
        <v>7.31</v>
      </c>
      <c r="L658">
        <v>1129.81</v>
      </c>
      <c r="M658">
        <v>7.44</v>
      </c>
      <c r="N658">
        <v>9.5399999999999991</v>
      </c>
      <c r="O658">
        <v>7</v>
      </c>
      <c r="P658">
        <v>6.49</v>
      </c>
      <c r="Q658">
        <v>85.16</v>
      </c>
      <c r="R658">
        <v>97.52</v>
      </c>
      <c r="S658">
        <v>125000</v>
      </c>
      <c r="T658">
        <v>11375000</v>
      </c>
    </row>
    <row r="659" spans="1:20" x14ac:dyDescent="0.25">
      <c r="A659" t="s">
        <v>67</v>
      </c>
      <c r="B659" t="s">
        <v>68</v>
      </c>
      <c r="C659" t="s">
        <v>69</v>
      </c>
      <c r="D659" t="s">
        <v>131</v>
      </c>
      <c r="E659" t="s">
        <v>128</v>
      </c>
      <c r="F659" t="s">
        <v>129</v>
      </c>
      <c r="G659" t="s">
        <v>26</v>
      </c>
      <c r="H659">
        <v>997</v>
      </c>
      <c r="I659">
        <v>14430.99</v>
      </c>
      <c r="J659">
        <v>1023.29</v>
      </c>
      <c r="K659">
        <v>7.09</v>
      </c>
      <c r="L659">
        <v>1505.74</v>
      </c>
      <c r="M659">
        <v>10.43</v>
      </c>
      <c r="N659">
        <v>9.15</v>
      </c>
      <c r="O659">
        <v>27.5</v>
      </c>
      <c r="P659">
        <v>0</v>
      </c>
      <c r="Q659">
        <v>78.33</v>
      </c>
      <c r="R659">
        <v>89.96</v>
      </c>
      <c r="S659">
        <v>125000</v>
      </c>
      <c r="T659">
        <v>11375000</v>
      </c>
    </row>
    <row r="660" spans="1:20" x14ac:dyDescent="0.25">
      <c r="A660" t="s">
        <v>70</v>
      </c>
      <c r="B660" t="s">
        <v>71</v>
      </c>
      <c r="C660" t="s">
        <v>69</v>
      </c>
      <c r="D660" t="s">
        <v>131</v>
      </c>
      <c r="E660" t="s">
        <v>128</v>
      </c>
      <c r="F660" t="s">
        <v>129</v>
      </c>
      <c r="G660" t="s">
        <v>26</v>
      </c>
      <c r="H660">
        <v>997</v>
      </c>
      <c r="I660">
        <v>15570.27</v>
      </c>
      <c r="J660">
        <v>1126.3499999999999</v>
      </c>
      <c r="K660">
        <v>7.23</v>
      </c>
      <c r="L660">
        <v>1482.85</v>
      </c>
      <c r="M660">
        <v>9.52</v>
      </c>
      <c r="N660">
        <v>10.45</v>
      </c>
      <c r="O660">
        <v>26.6</v>
      </c>
      <c r="P660">
        <v>30.03</v>
      </c>
      <c r="Q660">
        <v>84.61</v>
      </c>
      <c r="R660">
        <v>99.02</v>
      </c>
      <c r="S660">
        <v>125000</v>
      </c>
      <c r="T660">
        <v>11375000</v>
      </c>
    </row>
    <row r="661" spans="1:20" x14ac:dyDescent="0.25">
      <c r="A661" t="s">
        <v>72</v>
      </c>
      <c r="B661" t="s">
        <v>73</v>
      </c>
      <c r="C661" t="s">
        <v>69</v>
      </c>
      <c r="D661" t="s">
        <v>131</v>
      </c>
      <c r="E661" t="s">
        <v>128</v>
      </c>
      <c r="F661" t="s">
        <v>129</v>
      </c>
      <c r="G661" t="s">
        <v>26</v>
      </c>
      <c r="H661">
        <v>997</v>
      </c>
      <c r="I661">
        <v>14824.64</v>
      </c>
      <c r="J661">
        <v>1157.75</v>
      </c>
      <c r="K661">
        <v>7.81</v>
      </c>
      <c r="L661">
        <v>2052.5700000000002</v>
      </c>
      <c r="M661">
        <v>13.85</v>
      </c>
      <c r="N661">
        <v>9.4</v>
      </c>
      <c r="O661">
        <v>61.2</v>
      </c>
      <c r="P661">
        <v>92.74</v>
      </c>
      <c r="Q661">
        <v>84.06</v>
      </c>
      <c r="R661">
        <v>101.78</v>
      </c>
      <c r="S661">
        <v>125000</v>
      </c>
      <c r="T661">
        <v>11375000</v>
      </c>
    </row>
    <row r="662" spans="1:20" x14ac:dyDescent="0.25">
      <c r="A662" t="s">
        <v>74</v>
      </c>
      <c r="B662" t="s">
        <v>75</v>
      </c>
      <c r="C662" t="s">
        <v>69</v>
      </c>
      <c r="D662" t="s">
        <v>131</v>
      </c>
      <c r="E662" t="s">
        <v>128</v>
      </c>
      <c r="F662" t="s">
        <v>129</v>
      </c>
      <c r="G662" t="s">
        <v>26</v>
      </c>
      <c r="H662">
        <v>997</v>
      </c>
      <c r="I662">
        <v>14056</v>
      </c>
      <c r="J662">
        <v>1069.02</v>
      </c>
      <c r="K662">
        <v>7.61</v>
      </c>
      <c r="L662">
        <v>718.41</v>
      </c>
      <c r="M662">
        <v>5.1100000000000003</v>
      </c>
      <c r="N662">
        <v>9.67</v>
      </c>
      <c r="O662">
        <v>16.3</v>
      </c>
      <c r="P662">
        <v>7.71</v>
      </c>
      <c r="Q662">
        <v>80.400000000000006</v>
      </c>
      <c r="R662">
        <v>93.98</v>
      </c>
      <c r="S662">
        <v>125000</v>
      </c>
      <c r="T662">
        <v>11375000</v>
      </c>
    </row>
    <row r="663" spans="1:20" x14ac:dyDescent="0.25">
      <c r="A663" t="s">
        <v>76</v>
      </c>
      <c r="B663" t="s">
        <v>77</v>
      </c>
      <c r="C663" t="s">
        <v>69</v>
      </c>
      <c r="D663" t="s">
        <v>131</v>
      </c>
      <c r="E663" t="s">
        <v>128</v>
      </c>
      <c r="F663" t="s">
        <v>129</v>
      </c>
      <c r="G663" t="s">
        <v>26</v>
      </c>
      <c r="H663">
        <v>997</v>
      </c>
      <c r="I663">
        <v>14612.68</v>
      </c>
      <c r="J663">
        <v>1279.9100000000001</v>
      </c>
      <c r="K663">
        <v>8.76</v>
      </c>
      <c r="L663">
        <v>1650.73</v>
      </c>
      <c r="M663">
        <v>11.3</v>
      </c>
      <c r="N663">
        <v>9.81</v>
      </c>
      <c r="O663">
        <v>0.9</v>
      </c>
      <c r="P663">
        <v>2.88</v>
      </c>
      <c r="Q663">
        <v>94.78</v>
      </c>
      <c r="R663">
        <v>112.52</v>
      </c>
      <c r="S663">
        <v>125000</v>
      </c>
      <c r="T663">
        <v>11375000</v>
      </c>
    </row>
    <row r="664" spans="1:20" x14ac:dyDescent="0.25">
      <c r="A664" t="s">
        <v>78</v>
      </c>
      <c r="B664" t="s">
        <v>79</v>
      </c>
      <c r="C664" t="s">
        <v>80</v>
      </c>
      <c r="D664" t="s">
        <v>131</v>
      </c>
      <c r="E664" t="s">
        <v>128</v>
      </c>
      <c r="F664" t="s">
        <v>129</v>
      </c>
      <c r="G664" t="s">
        <v>26</v>
      </c>
      <c r="H664">
        <v>997</v>
      </c>
      <c r="I664">
        <v>14351.51</v>
      </c>
      <c r="J664">
        <v>1155.02</v>
      </c>
      <c r="K664">
        <v>8.0500000000000007</v>
      </c>
      <c r="L664">
        <v>666.9</v>
      </c>
      <c r="M664">
        <v>4.6500000000000004</v>
      </c>
      <c r="N664">
        <v>10.39</v>
      </c>
      <c r="O664">
        <v>51.7</v>
      </c>
      <c r="P664">
        <v>76.569999999999993</v>
      </c>
      <c r="Q664">
        <v>85.13</v>
      </c>
      <c r="R664">
        <v>101.54</v>
      </c>
      <c r="S664">
        <v>125000</v>
      </c>
      <c r="T664">
        <v>11375000</v>
      </c>
    </row>
    <row r="665" spans="1:20" x14ac:dyDescent="0.25">
      <c r="A665" t="s">
        <v>81</v>
      </c>
      <c r="B665" t="s">
        <v>82</v>
      </c>
      <c r="C665" t="s">
        <v>80</v>
      </c>
      <c r="D665" t="s">
        <v>131</v>
      </c>
      <c r="E665" t="s">
        <v>128</v>
      </c>
      <c r="F665" t="s">
        <v>129</v>
      </c>
      <c r="G665" t="s">
        <v>26</v>
      </c>
      <c r="H665">
        <v>997</v>
      </c>
      <c r="I665">
        <v>15629.54</v>
      </c>
      <c r="J665">
        <v>1369.89</v>
      </c>
      <c r="K665">
        <v>8.76</v>
      </c>
      <c r="L665">
        <v>2008.57</v>
      </c>
      <c r="M665">
        <v>12.85</v>
      </c>
      <c r="N665">
        <v>10.37</v>
      </c>
      <c r="O665">
        <v>57.4</v>
      </c>
      <c r="P665">
        <v>265.86</v>
      </c>
      <c r="Q665">
        <v>101.77</v>
      </c>
      <c r="R665">
        <v>120.43</v>
      </c>
      <c r="S665">
        <v>125000</v>
      </c>
      <c r="T665">
        <v>11375000</v>
      </c>
    </row>
    <row r="666" spans="1:20" x14ac:dyDescent="0.25">
      <c r="A666" t="s">
        <v>83</v>
      </c>
      <c r="B666" t="s">
        <v>84</v>
      </c>
      <c r="C666" t="s">
        <v>80</v>
      </c>
      <c r="D666" t="s">
        <v>131</v>
      </c>
      <c r="E666" t="s">
        <v>128</v>
      </c>
      <c r="F666" t="s">
        <v>129</v>
      </c>
      <c r="G666" t="s">
        <v>26</v>
      </c>
      <c r="H666">
        <v>997</v>
      </c>
      <c r="I666">
        <v>15042.55</v>
      </c>
      <c r="J666">
        <v>1276.5</v>
      </c>
      <c r="K666">
        <v>8.49</v>
      </c>
      <c r="L666">
        <v>1390.83</v>
      </c>
      <c r="M666">
        <v>9.25</v>
      </c>
      <c r="N666">
        <v>9.77</v>
      </c>
      <c r="O666">
        <v>44.3</v>
      </c>
      <c r="P666">
        <v>139.61000000000001</v>
      </c>
      <c r="Q666">
        <v>93.24</v>
      </c>
      <c r="R666">
        <v>112.22</v>
      </c>
      <c r="S666">
        <v>125000</v>
      </c>
      <c r="T666">
        <v>11375000</v>
      </c>
    </row>
    <row r="667" spans="1:20" x14ac:dyDescent="0.25">
      <c r="A667" t="s">
        <v>85</v>
      </c>
      <c r="B667" t="s">
        <v>86</v>
      </c>
      <c r="C667" t="s">
        <v>80</v>
      </c>
      <c r="D667" t="s">
        <v>131</v>
      </c>
      <c r="E667" t="s">
        <v>128</v>
      </c>
      <c r="F667" t="s">
        <v>129</v>
      </c>
      <c r="G667" t="s">
        <v>26</v>
      </c>
      <c r="H667">
        <v>997</v>
      </c>
      <c r="I667">
        <v>14887.4</v>
      </c>
      <c r="J667">
        <v>1270.25</v>
      </c>
      <c r="K667">
        <v>8.5299999999999994</v>
      </c>
      <c r="L667">
        <v>1509.86</v>
      </c>
      <c r="M667">
        <v>10.14</v>
      </c>
      <c r="N667">
        <v>9.73</v>
      </c>
      <c r="O667">
        <v>48.1</v>
      </c>
      <c r="P667">
        <v>147.11000000000001</v>
      </c>
      <c r="Q667">
        <v>99.34</v>
      </c>
      <c r="R667">
        <v>111.67</v>
      </c>
      <c r="S667">
        <v>125000</v>
      </c>
      <c r="T667">
        <v>11375000</v>
      </c>
    </row>
    <row r="668" spans="1:20" x14ac:dyDescent="0.25">
      <c r="A668" t="s">
        <v>87</v>
      </c>
      <c r="B668" t="s">
        <v>88</v>
      </c>
      <c r="C668" t="s">
        <v>89</v>
      </c>
      <c r="D668" t="s">
        <v>131</v>
      </c>
      <c r="E668" t="s">
        <v>128</v>
      </c>
      <c r="F668" t="s">
        <v>129</v>
      </c>
      <c r="G668" t="s">
        <v>26</v>
      </c>
      <c r="H668">
        <v>997</v>
      </c>
      <c r="I668">
        <v>10385.89</v>
      </c>
      <c r="J668">
        <v>1669.85</v>
      </c>
      <c r="K668">
        <v>16.079999999999998</v>
      </c>
      <c r="L668">
        <v>-1088.1099999999999</v>
      </c>
      <c r="M668">
        <v>-10.48</v>
      </c>
      <c r="N668">
        <v>7.25</v>
      </c>
      <c r="O668">
        <v>33.5</v>
      </c>
      <c r="P668">
        <v>353.04</v>
      </c>
      <c r="Q668">
        <v>130.88</v>
      </c>
      <c r="R668">
        <v>146.80000000000001</v>
      </c>
      <c r="S668">
        <v>125000</v>
      </c>
      <c r="T668">
        <v>11375000</v>
      </c>
    </row>
    <row r="669" spans="1:20" x14ac:dyDescent="0.25">
      <c r="A669" t="s">
        <v>20</v>
      </c>
      <c r="B669" t="s">
        <v>21</v>
      </c>
      <c r="C669" t="s">
        <v>22</v>
      </c>
      <c r="D669" t="s">
        <v>132</v>
      </c>
      <c r="E669" t="s">
        <v>133</v>
      </c>
      <c r="F669" t="s">
        <v>134</v>
      </c>
      <c r="G669" t="s">
        <v>26</v>
      </c>
      <c r="H669">
        <v>138</v>
      </c>
      <c r="I669">
        <v>1230.28</v>
      </c>
      <c r="J669">
        <v>149.31</v>
      </c>
      <c r="K669">
        <v>12.14</v>
      </c>
      <c r="L669">
        <v>113.1</v>
      </c>
      <c r="M669">
        <v>9.19</v>
      </c>
      <c r="N669">
        <v>1.22</v>
      </c>
      <c r="O669">
        <v>18.5</v>
      </c>
      <c r="P669">
        <v>0</v>
      </c>
      <c r="Q669">
        <v>63</v>
      </c>
      <c r="R669">
        <v>74.58</v>
      </c>
      <c r="S669">
        <v>22000</v>
      </c>
      <c r="T669">
        <v>2002000</v>
      </c>
    </row>
    <row r="670" spans="1:20" x14ac:dyDescent="0.25">
      <c r="A670" t="s">
        <v>27</v>
      </c>
      <c r="B670" t="s">
        <v>28</v>
      </c>
      <c r="C670" t="s">
        <v>22</v>
      </c>
      <c r="D670" t="s">
        <v>132</v>
      </c>
      <c r="E670" t="s">
        <v>133</v>
      </c>
      <c r="F670" t="s">
        <v>134</v>
      </c>
      <c r="G670" t="s">
        <v>26</v>
      </c>
      <c r="H670">
        <v>138</v>
      </c>
      <c r="I670">
        <v>1255.96</v>
      </c>
      <c r="J670">
        <v>146.83000000000001</v>
      </c>
      <c r="K670">
        <v>11.69</v>
      </c>
      <c r="L670">
        <v>134.79</v>
      </c>
      <c r="M670">
        <v>10.73</v>
      </c>
      <c r="N670">
        <v>1.26</v>
      </c>
      <c r="O670">
        <v>10.3</v>
      </c>
      <c r="P670">
        <v>0</v>
      </c>
      <c r="Q670">
        <v>64.790000000000006</v>
      </c>
      <c r="R670">
        <v>73.34</v>
      </c>
      <c r="S670">
        <v>22000</v>
      </c>
      <c r="T670">
        <v>2002000</v>
      </c>
    </row>
    <row r="671" spans="1:20" x14ac:dyDescent="0.25">
      <c r="A671" t="s">
        <v>29</v>
      </c>
      <c r="B671" t="s">
        <v>30</v>
      </c>
      <c r="C671" t="s">
        <v>22</v>
      </c>
      <c r="D671" t="s">
        <v>132</v>
      </c>
      <c r="E671" t="s">
        <v>133</v>
      </c>
      <c r="F671" t="s">
        <v>134</v>
      </c>
      <c r="G671" t="s">
        <v>26</v>
      </c>
      <c r="H671">
        <v>138</v>
      </c>
      <c r="I671">
        <v>1286.27</v>
      </c>
      <c r="J671">
        <v>142.36000000000001</v>
      </c>
      <c r="K671">
        <v>11.07</v>
      </c>
      <c r="L671">
        <v>138.86000000000001</v>
      </c>
      <c r="M671">
        <v>10.8</v>
      </c>
      <c r="N671">
        <v>1.26</v>
      </c>
      <c r="O671">
        <v>2.2000000000000002</v>
      </c>
      <c r="P671">
        <v>0</v>
      </c>
      <c r="Q671">
        <v>60.46</v>
      </c>
      <c r="R671">
        <v>71.11</v>
      </c>
      <c r="S671">
        <v>22000</v>
      </c>
      <c r="T671">
        <v>2002000</v>
      </c>
    </row>
    <row r="672" spans="1:20" x14ac:dyDescent="0.25">
      <c r="A672" t="s">
        <v>31</v>
      </c>
      <c r="B672" t="s">
        <v>32</v>
      </c>
      <c r="C672" t="s">
        <v>22</v>
      </c>
      <c r="D672" t="s">
        <v>132</v>
      </c>
      <c r="E672" t="s">
        <v>133</v>
      </c>
      <c r="F672" t="s">
        <v>134</v>
      </c>
      <c r="G672" t="s">
        <v>26</v>
      </c>
      <c r="H672">
        <v>138</v>
      </c>
      <c r="I672">
        <v>1211.4100000000001</v>
      </c>
      <c r="J672">
        <v>154.09</v>
      </c>
      <c r="K672">
        <v>12.72</v>
      </c>
      <c r="L672">
        <v>157.61000000000001</v>
      </c>
      <c r="M672">
        <v>13.01</v>
      </c>
      <c r="N672">
        <v>1.34</v>
      </c>
      <c r="O672">
        <v>59.9</v>
      </c>
      <c r="P672">
        <v>0</v>
      </c>
      <c r="Q672">
        <v>65.66</v>
      </c>
      <c r="R672">
        <v>76.97</v>
      </c>
      <c r="S672">
        <v>22000</v>
      </c>
      <c r="T672">
        <v>2002000</v>
      </c>
    </row>
    <row r="673" spans="1:20" x14ac:dyDescent="0.25">
      <c r="A673" t="s">
        <v>33</v>
      </c>
      <c r="B673" t="s">
        <v>34</v>
      </c>
      <c r="C673" t="s">
        <v>22</v>
      </c>
      <c r="D673" t="s">
        <v>132</v>
      </c>
      <c r="E673" t="s">
        <v>133</v>
      </c>
      <c r="F673" t="s">
        <v>134</v>
      </c>
      <c r="G673" t="s">
        <v>26</v>
      </c>
      <c r="H673">
        <v>138</v>
      </c>
      <c r="I673">
        <v>1295.52</v>
      </c>
      <c r="J673">
        <v>150.91</v>
      </c>
      <c r="K673">
        <v>11.65</v>
      </c>
      <c r="L673">
        <v>176.87</v>
      </c>
      <c r="M673">
        <v>13.65</v>
      </c>
      <c r="N673">
        <v>1.37</v>
      </c>
      <c r="O673">
        <v>38.9</v>
      </c>
      <c r="P673">
        <v>0</v>
      </c>
      <c r="Q673">
        <v>66.66</v>
      </c>
      <c r="R673">
        <v>75.38</v>
      </c>
      <c r="S673">
        <v>22000</v>
      </c>
      <c r="T673">
        <v>2002000</v>
      </c>
    </row>
    <row r="674" spans="1:20" x14ac:dyDescent="0.25">
      <c r="A674" t="s">
        <v>35</v>
      </c>
      <c r="B674" t="s">
        <v>36</v>
      </c>
      <c r="C674" t="s">
        <v>37</v>
      </c>
      <c r="D674" t="s">
        <v>132</v>
      </c>
      <c r="E674" t="s">
        <v>133</v>
      </c>
      <c r="F674" t="s">
        <v>134</v>
      </c>
      <c r="G674" t="s">
        <v>26</v>
      </c>
      <c r="H674">
        <v>138</v>
      </c>
      <c r="I674">
        <v>337.8</v>
      </c>
      <c r="J674">
        <v>47.43</v>
      </c>
      <c r="K674">
        <v>14.04</v>
      </c>
      <c r="L674">
        <v>-151.74</v>
      </c>
      <c r="M674">
        <v>-44.92</v>
      </c>
      <c r="N674">
        <v>0.33</v>
      </c>
      <c r="O674">
        <v>9.4</v>
      </c>
      <c r="P674">
        <v>0</v>
      </c>
      <c r="Q674">
        <v>20.57</v>
      </c>
      <c r="R674">
        <v>23.69</v>
      </c>
      <c r="S674">
        <v>22000</v>
      </c>
      <c r="T674">
        <v>2002000</v>
      </c>
    </row>
    <row r="675" spans="1:20" x14ac:dyDescent="0.25">
      <c r="A675" t="s">
        <v>38</v>
      </c>
      <c r="B675" t="s">
        <v>39</v>
      </c>
      <c r="C675" t="s">
        <v>37</v>
      </c>
      <c r="D675" t="s">
        <v>132</v>
      </c>
      <c r="E675" t="s">
        <v>133</v>
      </c>
      <c r="F675" t="s">
        <v>134</v>
      </c>
      <c r="G675" t="s">
        <v>26</v>
      </c>
      <c r="H675">
        <v>138</v>
      </c>
      <c r="I675">
        <v>315.27999999999997</v>
      </c>
      <c r="J675">
        <v>100.96</v>
      </c>
      <c r="K675">
        <v>32.020000000000003</v>
      </c>
      <c r="L675">
        <v>-107.94</v>
      </c>
      <c r="M675">
        <v>-34.24</v>
      </c>
      <c r="N675">
        <v>0.34</v>
      </c>
      <c r="O675">
        <v>52</v>
      </c>
      <c r="P675">
        <v>0</v>
      </c>
      <c r="Q675">
        <v>44.05</v>
      </c>
      <c r="R675">
        <v>50.43</v>
      </c>
      <c r="S675">
        <v>22000</v>
      </c>
      <c r="T675">
        <v>2002000</v>
      </c>
    </row>
    <row r="676" spans="1:20" x14ac:dyDescent="0.25">
      <c r="A676" t="s">
        <v>40</v>
      </c>
      <c r="B676" t="s">
        <v>41</v>
      </c>
      <c r="C676" t="s">
        <v>37</v>
      </c>
      <c r="D676" t="s">
        <v>132</v>
      </c>
      <c r="E676" t="s">
        <v>133</v>
      </c>
      <c r="F676" t="s">
        <v>134</v>
      </c>
      <c r="G676" t="s">
        <v>26</v>
      </c>
      <c r="H676">
        <v>138</v>
      </c>
      <c r="I676">
        <v>393.06</v>
      </c>
      <c r="J676">
        <v>91.41</v>
      </c>
      <c r="K676">
        <v>23.26</v>
      </c>
      <c r="L676">
        <v>-80.87</v>
      </c>
      <c r="M676">
        <v>-20.57</v>
      </c>
      <c r="N676">
        <v>0.43</v>
      </c>
      <c r="O676">
        <v>22.6</v>
      </c>
      <c r="P676">
        <v>0</v>
      </c>
      <c r="Q676">
        <v>39.950000000000003</v>
      </c>
      <c r="R676">
        <v>45.66</v>
      </c>
      <c r="S676">
        <v>22000</v>
      </c>
      <c r="T676">
        <v>2002000</v>
      </c>
    </row>
    <row r="677" spans="1:20" x14ac:dyDescent="0.25">
      <c r="A677" t="s">
        <v>42</v>
      </c>
      <c r="B677" t="s">
        <v>43</v>
      </c>
      <c r="C677" t="s">
        <v>37</v>
      </c>
      <c r="D677" t="s">
        <v>132</v>
      </c>
      <c r="E677" t="s">
        <v>133</v>
      </c>
      <c r="F677" t="s">
        <v>134</v>
      </c>
      <c r="G677" t="s">
        <v>26</v>
      </c>
      <c r="H677">
        <v>138</v>
      </c>
      <c r="I677">
        <v>264.51</v>
      </c>
      <c r="J677">
        <v>171.71</v>
      </c>
      <c r="K677">
        <v>64.92</v>
      </c>
      <c r="L677">
        <v>-96.5</v>
      </c>
      <c r="M677">
        <v>-36.479999999999997</v>
      </c>
      <c r="N677">
        <v>0.27</v>
      </c>
      <c r="O677">
        <v>25.5</v>
      </c>
      <c r="P677">
        <v>0</v>
      </c>
      <c r="Q677">
        <v>75.489999999999995</v>
      </c>
      <c r="R677">
        <v>85.77</v>
      </c>
      <c r="S677">
        <v>22000</v>
      </c>
      <c r="T677">
        <v>2002000</v>
      </c>
    </row>
    <row r="678" spans="1:20" x14ac:dyDescent="0.25">
      <c r="A678" t="s">
        <v>44</v>
      </c>
      <c r="B678" t="s">
        <v>45</v>
      </c>
      <c r="C678" t="s">
        <v>37</v>
      </c>
      <c r="D678" t="s">
        <v>132</v>
      </c>
      <c r="E678" t="s">
        <v>133</v>
      </c>
      <c r="F678" t="s">
        <v>134</v>
      </c>
      <c r="G678" t="s">
        <v>26</v>
      </c>
      <c r="H678">
        <v>138</v>
      </c>
      <c r="I678">
        <v>206.22</v>
      </c>
      <c r="J678">
        <v>182.02</v>
      </c>
      <c r="K678">
        <v>88.27</v>
      </c>
      <c r="L678">
        <v>-60.14</v>
      </c>
      <c r="M678">
        <v>-29.16</v>
      </c>
      <c r="N678">
        <v>0.22</v>
      </c>
      <c r="O678">
        <v>30</v>
      </c>
      <c r="P678">
        <v>0.56000000000000005</v>
      </c>
      <c r="Q678">
        <v>76.83</v>
      </c>
      <c r="R678">
        <v>90.92</v>
      </c>
      <c r="S678">
        <v>22000</v>
      </c>
      <c r="T678">
        <v>2002000</v>
      </c>
    </row>
    <row r="679" spans="1:20" x14ac:dyDescent="0.25">
      <c r="A679" t="s">
        <v>46</v>
      </c>
      <c r="B679" t="s">
        <v>47</v>
      </c>
      <c r="C679" t="s">
        <v>48</v>
      </c>
      <c r="D679" t="s">
        <v>132</v>
      </c>
      <c r="E679" t="s">
        <v>133</v>
      </c>
      <c r="F679" t="s">
        <v>134</v>
      </c>
      <c r="G679" t="s">
        <v>26</v>
      </c>
      <c r="H679">
        <v>138</v>
      </c>
      <c r="I679">
        <v>832.78</v>
      </c>
      <c r="J679">
        <v>180.02</v>
      </c>
      <c r="K679">
        <v>21.62</v>
      </c>
      <c r="L679">
        <v>-31.55</v>
      </c>
      <c r="M679">
        <v>-3.79</v>
      </c>
      <c r="N679">
        <v>0.9</v>
      </c>
      <c r="O679">
        <v>2.4</v>
      </c>
      <c r="P679">
        <v>0</v>
      </c>
      <c r="Q679">
        <v>78.97</v>
      </c>
      <c r="R679">
        <v>89.92</v>
      </c>
      <c r="S679">
        <v>22000</v>
      </c>
      <c r="T679">
        <v>2002000</v>
      </c>
    </row>
    <row r="680" spans="1:20" x14ac:dyDescent="0.25">
      <c r="A680" t="s">
        <v>49</v>
      </c>
      <c r="B680" t="s">
        <v>50</v>
      </c>
      <c r="C680" t="s">
        <v>48</v>
      </c>
      <c r="D680" t="s">
        <v>132</v>
      </c>
      <c r="E680" t="s">
        <v>133</v>
      </c>
      <c r="F680" t="s">
        <v>134</v>
      </c>
      <c r="G680" t="s">
        <v>26</v>
      </c>
      <c r="H680">
        <v>138</v>
      </c>
      <c r="I680">
        <v>993.7</v>
      </c>
      <c r="J680">
        <v>208.71</v>
      </c>
      <c r="K680">
        <v>21</v>
      </c>
      <c r="L680">
        <v>78.69</v>
      </c>
      <c r="M680">
        <v>7.92</v>
      </c>
      <c r="N680">
        <v>1.08</v>
      </c>
      <c r="O680">
        <v>47</v>
      </c>
      <c r="P680">
        <v>15.53</v>
      </c>
      <c r="Q680">
        <v>86.82</v>
      </c>
      <c r="R680">
        <v>104.25</v>
      </c>
      <c r="S680">
        <v>22000</v>
      </c>
      <c r="T680">
        <v>2002000</v>
      </c>
    </row>
    <row r="681" spans="1:20" x14ac:dyDescent="0.25">
      <c r="A681" t="s">
        <v>51</v>
      </c>
      <c r="B681" t="s">
        <v>52</v>
      </c>
      <c r="C681" t="s">
        <v>48</v>
      </c>
      <c r="D681" t="s">
        <v>132</v>
      </c>
      <c r="E681" t="s">
        <v>133</v>
      </c>
      <c r="F681" t="s">
        <v>134</v>
      </c>
      <c r="G681" t="s">
        <v>26</v>
      </c>
      <c r="H681">
        <v>138</v>
      </c>
      <c r="I681">
        <v>922.23</v>
      </c>
      <c r="J681">
        <v>163.04</v>
      </c>
      <c r="K681">
        <v>17.68</v>
      </c>
      <c r="L681">
        <v>33.9</v>
      </c>
      <c r="M681">
        <v>3.68</v>
      </c>
      <c r="N681">
        <v>1.02</v>
      </c>
      <c r="O681">
        <v>53.6</v>
      </c>
      <c r="P681">
        <v>0</v>
      </c>
      <c r="Q681">
        <v>72.010000000000005</v>
      </c>
      <c r="R681">
        <v>81.44</v>
      </c>
      <c r="S681">
        <v>22000</v>
      </c>
      <c r="T681">
        <v>2002000</v>
      </c>
    </row>
    <row r="682" spans="1:20" x14ac:dyDescent="0.25">
      <c r="A682" t="s">
        <v>53</v>
      </c>
      <c r="B682" t="s">
        <v>54</v>
      </c>
      <c r="C682" t="s">
        <v>55</v>
      </c>
      <c r="D682" t="s">
        <v>132</v>
      </c>
      <c r="E682" t="s">
        <v>133</v>
      </c>
      <c r="F682" t="s">
        <v>134</v>
      </c>
      <c r="G682" t="s">
        <v>26</v>
      </c>
      <c r="H682">
        <v>138</v>
      </c>
      <c r="I682">
        <v>1302.83</v>
      </c>
      <c r="J682">
        <v>263.52</v>
      </c>
      <c r="K682">
        <v>20.23</v>
      </c>
      <c r="L682">
        <v>104.13</v>
      </c>
      <c r="M682">
        <v>7.99</v>
      </c>
      <c r="N682">
        <v>1.41</v>
      </c>
      <c r="O682">
        <v>31.5</v>
      </c>
      <c r="P682">
        <v>38.4</v>
      </c>
      <c r="Q682">
        <v>109.53</v>
      </c>
      <c r="R682">
        <v>131.63</v>
      </c>
      <c r="S682">
        <v>22000</v>
      </c>
      <c r="T682">
        <v>2002000</v>
      </c>
    </row>
    <row r="683" spans="1:20" x14ac:dyDescent="0.25">
      <c r="A683" t="s">
        <v>56</v>
      </c>
      <c r="B683" t="s">
        <v>57</v>
      </c>
      <c r="C683" t="s">
        <v>55</v>
      </c>
      <c r="D683" t="s">
        <v>132</v>
      </c>
      <c r="E683" t="s">
        <v>133</v>
      </c>
      <c r="F683" t="s">
        <v>134</v>
      </c>
      <c r="G683" t="s">
        <v>26</v>
      </c>
      <c r="H683">
        <v>138</v>
      </c>
      <c r="I683">
        <v>1239.68</v>
      </c>
      <c r="J683">
        <v>189.17</v>
      </c>
      <c r="K683">
        <v>15.26</v>
      </c>
      <c r="L683">
        <v>63.67</v>
      </c>
      <c r="M683">
        <v>5.14</v>
      </c>
      <c r="N683">
        <v>1.27</v>
      </c>
      <c r="O683">
        <v>2.2000000000000002</v>
      </c>
      <c r="P683">
        <v>0.21</v>
      </c>
      <c r="Q683">
        <v>80.69</v>
      </c>
      <c r="R683">
        <v>94.49</v>
      </c>
      <c r="S683">
        <v>22000</v>
      </c>
      <c r="T683">
        <v>2002000</v>
      </c>
    </row>
    <row r="684" spans="1:20" x14ac:dyDescent="0.25">
      <c r="A684" t="s">
        <v>58</v>
      </c>
      <c r="B684" t="s">
        <v>59</v>
      </c>
      <c r="C684" t="s">
        <v>55</v>
      </c>
      <c r="D684" t="s">
        <v>132</v>
      </c>
      <c r="E684" t="s">
        <v>133</v>
      </c>
      <c r="F684" t="s">
        <v>134</v>
      </c>
      <c r="G684" t="s">
        <v>26</v>
      </c>
      <c r="H684">
        <v>138</v>
      </c>
      <c r="I684">
        <v>1292.77</v>
      </c>
      <c r="J684">
        <v>211.33</v>
      </c>
      <c r="K684">
        <v>16.350000000000001</v>
      </c>
      <c r="L684">
        <v>119.03</v>
      </c>
      <c r="M684">
        <v>9.2100000000000009</v>
      </c>
      <c r="N684">
        <v>1.5</v>
      </c>
      <c r="O684">
        <v>37.700000000000003</v>
      </c>
      <c r="P684">
        <v>13.77</v>
      </c>
      <c r="Q684">
        <v>93.25</v>
      </c>
      <c r="R684">
        <v>105.56</v>
      </c>
      <c r="S684">
        <v>22000</v>
      </c>
      <c r="T684">
        <v>2002000</v>
      </c>
    </row>
    <row r="685" spans="1:20" x14ac:dyDescent="0.25">
      <c r="A685" t="s">
        <v>60</v>
      </c>
      <c r="B685" t="s">
        <v>61</v>
      </c>
      <c r="C685" t="s">
        <v>62</v>
      </c>
      <c r="D685" t="s">
        <v>132</v>
      </c>
      <c r="E685" t="s">
        <v>133</v>
      </c>
      <c r="F685" t="s">
        <v>134</v>
      </c>
      <c r="G685" t="s">
        <v>26</v>
      </c>
      <c r="H685">
        <v>138</v>
      </c>
      <c r="I685">
        <v>1202.8</v>
      </c>
      <c r="J685">
        <v>194.45</v>
      </c>
      <c r="K685">
        <v>16.170000000000002</v>
      </c>
      <c r="L685">
        <v>153.80000000000001</v>
      </c>
      <c r="M685">
        <v>12.79</v>
      </c>
      <c r="N685">
        <v>1.35</v>
      </c>
      <c r="O685">
        <v>16.3</v>
      </c>
      <c r="P685">
        <v>2.5099999999999998</v>
      </c>
      <c r="Q685">
        <v>84.29</v>
      </c>
      <c r="R685">
        <v>97.13</v>
      </c>
      <c r="S685">
        <v>22000</v>
      </c>
      <c r="T685">
        <v>2002000</v>
      </c>
    </row>
    <row r="686" spans="1:20" x14ac:dyDescent="0.25">
      <c r="A686" t="s">
        <v>63</v>
      </c>
      <c r="B686" t="s">
        <v>64</v>
      </c>
      <c r="C686" t="s">
        <v>62</v>
      </c>
      <c r="D686" t="s">
        <v>132</v>
      </c>
      <c r="E686" t="s">
        <v>133</v>
      </c>
      <c r="F686" t="s">
        <v>134</v>
      </c>
      <c r="G686" t="s">
        <v>26</v>
      </c>
      <c r="H686">
        <v>138</v>
      </c>
      <c r="I686">
        <v>1318.08</v>
      </c>
      <c r="J686">
        <v>204.14</v>
      </c>
      <c r="K686">
        <v>15.49</v>
      </c>
      <c r="L686">
        <v>114.94</v>
      </c>
      <c r="M686">
        <v>8.7200000000000006</v>
      </c>
      <c r="N686">
        <v>1.52</v>
      </c>
      <c r="O686">
        <v>16.100000000000001</v>
      </c>
      <c r="P686">
        <v>4.37</v>
      </c>
      <c r="Q686">
        <v>88.18</v>
      </c>
      <c r="R686">
        <v>101.97</v>
      </c>
      <c r="S686">
        <v>22000</v>
      </c>
      <c r="T686">
        <v>2002000</v>
      </c>
    </row>
    <row r="687" spans="1:20" x14ac:dyDescent="0.25">
      <c r="A687" t="s">
        <v>65</v>
      </c>
      <c r="B687" t="s">
        <v>66</v>
      </c>
      <c r="C687" t="s">
        <v>62</v>
      </c>
      <c r="D687" t="s">
        <v>132</v>
      </c>
      <c r="E687" t="s">
        <v>133</v>
      </c>
      <c r="F687" t="s">
        <v>134</v>
      </c>
      <c r="G687" t="s">
        <v>26</v>
      </c>
      <c r="H687">
        <v>138</v>
      </c>
      <c r="I687">
        <v>1317.65</v>
      </c>
      <c r="J687">
        <v>195.24</v>
      </c>
      <c r="K687">
        <v>14.82</v>
      </c>
      <c r="L687">
        <v>146.51</v>
      </c>
      <c r="M687">
        <v>11.12</v>
      </c>
      <c r="N687">
        <v>1.27</v>
      </c>
      <c r="O687">
        <v>36.6</v>
      </c>
      <c r="P687">
        <v>5.97</v>
      </c>
      <c r="Q687">
        <v>85.16</v>
      </c>
      <c r="R687">
        <v>97.52</v>
      </c>
      <c r="S687">
        <v>22000</v>
      </c>
      <c r="T687">
        <v>2002000</v>
      </c>
    </row>
    <row r="688" spans="1:20" x14ac:dyDescent="0.25">
      <c r="A688" t="s">
        <v>67</v>
      </c>
      <c r="B688" t="s">
        <v>68</v>
      </c>
      <c r="C688" t="s">
        <v>69</v>
      </c>
      <c r="D688" t="s">
        <v>132</v>
      </c>
      <c r="E688" t="s">
        <v>133</v>
      </c>
      <c r="F688" t="s">
        <v>134</v>
      </c>
      <c r="G688" t="s">
        <v>26</v>
      </c>
      <c r="H688">
        <v>138</v>
      </c>
      <c r="I688">
        <v>1303.77</v>
      </c>
      <c r="J688">
        <v>180.1</v>
      </c>
      <c r="K688">
        <v>13.81</v>
      </c>
      <c r="L688">
        <v>72.540000000000006</v>
      </c>
      <c r="M688">
        <v>5.56</v>
      </c>
      <c r="N688">
        <v>1.41</v>
      </c>
      <c r="O688">
        <v>19.8</v>
      </c>
      <c r="P688">
        <v>0</v>
      </c>
      <c r="Q688">
        <v>78.33</v>
      </c>
      <c r="R688">
        <v>89.96</v>
      </c>
      <c r="S688">
        <v>22000</v>
      </c>
      <c r="T688">
        <v>2002000</v>
      </c>
    </row>
    <row r="689" spans="1:20" x14ac:dyDescent="0.25">
      <c r="A689" t="s">
        <v>70</v>
      </c>
      <c r="B689" t="s">
        <v>71</v>
      </c>
      <c r="C689" t="s">
        <v>69</v>
      </c>
      <c r="D689" t="s">
        <v>132</v>
      </c>
      <c r="E689" t="s">
        <v>133</v>
      </c>
      <c r="F689" t="s">
        <v>134</v>
      </c>
      <c r="G689" t="s">
        <v>26</v>
      </c>
      <c r="H689">
        <v>138</v>
      </c>
      <c r="I689">
        <v>1300.6400000000001</v>
      </c>
      <c r="J689">
        <v>198.24</v>
      </c>
      <c r="K689">
        <v>15.24</v>
      </c>
      <c r="L689">
        <v>122.28</v>
      </c>
      <c r="M689">
        <v>9.4</v>
      </c>
      <c r="N689">
        <v>1.43</v>
      </c>
      <c r="O689">
        <v>4.7</v>
      </c>
      <c r="P689">
        <v>0.93</v>
      </c>
      <c r="Q689">
        <v>84.61</v>
      </c>
      <c r="R689">
        <v>99.02</v>
      </c>
      <c r="S689">
        <v>22000</v>
      </c>
      <c r="T689">
        <v>2002000</v>
      </c>
    </row>
    <row r="690" spans="1:20" x14ac:dyDescent="0.25">
      <c r="A690" t="s">
        <v>72</v>
      </c>
      <c r="B690" t="s">
        <v>73</v>
      </c>
      <c r="C690" t="s">
        <v>69</v>
      </c>
      <c r="D690" t="s">
        <v>132</v>
      </c>
      <c r="E690" t="s">
        <v>133</v>
      </c>
      <c r="F690" t="s">
        <v>134</v>
      </c>
      <c r="G690" t="s">
        <v>26</v>
      </c>
      <c r="H690">
        <v>138</v>
      </c>
      <c r="I690">
        <v>1209.8900000000001</v>
      </c>
      <c r="J690">
        <v>203.76</v>
      </c>
      <c r="K690">
        <v>16.84</v>
      </c>
      <c r="L690">
        <v>115.19</v>
      </c>
      <c r="M690">
        <v>9.52</v>
      </c>
      <c r="N690">
        <v>1.21</v>
      </c>
      <c r="O690">
        <v>32.4</v>
      </c>
      <c r="P690">
        <v>8.64</v>
      </c>
      <c r="Q690">
        <v>84.06</v>
      </c>
      <c r="R690">
        <v>101.78</v>
      </c>
      <c r="S690">
        <v>22000</v>
      </c>
      <c r="T690">
        <v>2002000</v>
      </c>
    </row>
    <row r="691" spans="1:20" x14ac:dyDescent="0.25">
      <c r="A691" t="s">
        <v>74</v>
      </c>
      <c r="B691" t="s">
        <v>75</v>
      </c>
      <c r="C691" t="s">
        <v>69</v>
      </c>
      <c r="D691" t="s">
        <v>132</v>
      </c>
      <c r="E691" t="s">
        <v>133</v>
      </c>
      <c r="F691" t="s">
        <v>134</v>
      </c>
      <c r="G691" t="s">
        <v>26</v>
      </c>
      <c r="H691">
        <v>138</v>
      </c>
      <c r="I691">
        <v>1299.6300000000001</v>
      </c>
      <c r="J691">
        <v>188.15</v>
      </c>
      <c r="K691">
        <v>14.48</v>
      </c>
      <c r="L691">
        <v>157.22999999999999</v>
      </c>
      <c r="M691">
        <v>12.1</v>
      </c>
      <c r="N691">
        <v>1.29</v>
      </c>
      <c r="O691">
        <v>48.2</v>
      </c>
      <c r="P691">
        <v>4.01</v>
      </c>
      <c r="Q691">
        <v>80.400000000000006</v>
      </c>
      <c r="R691">
        <v>93.98</v>
      </c>
      <c r="S691">
        <v>22000</v>
      </c>
      <c r="T691">
        <v>2002000</v>
      </c>
    </row>
    <row r="692" spans="1:20" x14ac:dyDescent="0.25">
      <c r="A692" t="s">
        <v>76</v>
      </c>
      <c r="B692" t="s">
        <v>77</v>
      </c>
      <c r="C692" t="s">
        <v>69</v>
      </c>
      <c r="D692" t="s">
        <v>132</v>
      </c>
      <c r="E692" t="s">
        <v>133</v>
      </c>
      <c r="F692" t="s">
        <v>134</v>
      </c>
      <c r="G692" t="s">
        <v>26</v>
      </c>
      <c r="H692">
        <v>138</v>
      </c>
      <c r="I692">
        <v>1246.52</v>
      </c>
      <c r="J692">
        <v>225.27</v>
      </c>
      <c r="K692">
        <v>18.07</v>
      </c>
      <c r="L692">
        <v>134.49</v>
      </c>
      <c r="M692">
        <v>10.79</v>
      </c>
      <c r="N692">
        <v>1.24</v>
      </c>
      <c r="O692">
        <v>33.5</v>
      </c>
      <c r="P692">
        <v>18.88</v>
      </c>
      <c r="Q692">
        <v>94.78</v>
      </c>
      <c r="R692">
        <v>112.52</v>
      </c>
      <c r="S692">
        <v>22000</v>
      </c>
      <c r="T692">
        <v>2002000</v>
      </c>
    </row>
    <row r="693" spans="1:20" x14ac:dyDescent="0.25">
      <c r="A693" t="s">
        <v>78</v>
      </c>
      <c r="B693" t="s">
        <v>79</v>
      </c>
      <c r="C693" t="s">
        <v>80</v>
      </c>
      <c r="D693" t="s">
        <v>132</v>
      </c>
      <c r="E693" t="s">
        <v>133</v>
      </c>
      <c r="F693" t="s">
        <v>134</v>
      </c>
      <c r="G693" t="s">
        <v>26</v>
      </c>
      <c r="H693">
        <v>138</v>
      </c>
      <c r="I693">
        <v>1323.6</v>
      </c>
      <c r="J693">
        <v>203.28</v>
      </c>
      <c r="K693">
        <v>15.36</v>
      </c>
      <c r="L693">
        <v>67.03</v>
      </c>
      <c r="M693">
        <v>5.0599999999999996</v>
      </c>
      <c r="N693">
        <v>1.51</v>
      </c>
      <c r="O693">
        <v>29.4</v>
      </c>
      <c r="P693">
        <v>7.66</v>
      </c>
      <c r="Q693">
        <v>85.13</v>
      </c>
      <c r="R693">
        <v>101.54</v>
      </c>
      <c r="S693">
        <v>22000</v>
      </c>
      <c r="T693">
        <v>2002000</v>
      </c>
    </row>
    <row r="694" spans="1:20" x14ac:dyDescent="0.25">
      <c r="A694" t="s">
        <v>81</v>
      </c>
      <c r="B694" t="s">
        <v>82</v>
      </c>
      <c r="C694" t="s">
        <v>80</v>
      </c>
      <c r="D694" t="s">
        <v>132</v>
      </c>
      <c r="E694" t="s">
        <v>133</v>
      </c>
      <c r="F694" t="s">
        <v>134</v>
      </c>
      <c r="G694" t="s">
        <v>26</v>
      </c>
      <c r="H694">
        <v>138</v>
      </c>
      <c r="I694">
        <v>1321.28</v>
      </c>
      <c r="J694">
        <v>241.1</v>
      </c>
      <c r="K694">
        <v>18.25</v>
      </c>
      <c r="L694">
        <v>179.48</v>
      </c>
      <c r="M694">
        <v>13.58</v>
      </c>
      <c r="N694">
        <v>1.32</v>
      </c>
      <c r="O694">
        <v>43.8</v>
      </c>
      <c r="P694">
        <v>35.71</v>
      </c>
      <c r="Q694">
        <v>101.77</v>
      </c>
      <c r="R694">
        <v>120.43</v>
      </c>
      <c r="S694">
        <v>22000</v>
      </c>
      <c r="T694">
        <v>2002000</v>
      </c>
    </row>
    <row r="695" spans="1:20" x14ac:dyDescent="0.25">
      <c r="A695" t="s">
        <v>83</v>
      </c>
      <c r="B695" t="s">
        <v>84</v>
      </c>
      <c r="C695" t="s">
        <v>80</v>
      </c>
      <c r="D695" t="s">
        <v>132</v>
      </c>
      <c r="E695" t="s">
        <v>133</v>
      </c>
      <c r="F695" t="s">
        <v>134</v>
      </c>
      <c r="G695" t="s">
        <v>26</v>
      </c>
      <c r="H695">
        <v>138</v>
      </c>
      <c r="I695">
        <v>1225.7</v>
      </c>
      <c r="J695">
        <v>224.66</v>
      </c>
      <c r="K695">
        <v>18.329999999999998</v>
      </c>
      <c r="L695">
        <v>65.64</v>
      </c>
      <c r="M695">
        <v>5.36</v>
      </c>
      <c r="N695">
        <v>1.35</v>
      </c>
      <c r="O695">
        <v>7</v>
      </c>
      <c r="P695">
        <v>3.88</v>
      </c>
      <c r="Q695">
        <v>93.24</v>
      </c>
      <c r="R695">
        <v>112.22</v>
      </c>
      <c r="S695">
        <v>22000</v>
      </c>
      <c r="T695">
        <v>2002000</v>
      </c>
    </row>
    <row r="696" spans="1:20" x14ac:dyDescent="0.25">
      <c r="A696" t="s">
        <v>85</v>
      </c>
      <c r="B696" t="s">
        <v>86</v>
      </c>
      <c r="C696" t="s">
        <v>80</v>
      </c>
      <c r="D696" t="s">
        <v>132</v>
      </c>
      <c r="E696" t="s">
        <v>133</v>
      </c>
      <c r="F696" t="s">
        <v>134</v>
      </c>
      <c r="G696" t="s">
        <v>26</v>
      </c>
      <c r="H696">
        <v>138</v>
      </c>
      <c r="I696">
        <v>1263.0899999999999</v>
      </c>
      <c r="J696">
        <v>223.56</v>
      </c>
      <c r="K696">
        <v>17.7</v>
      </c>
      <c r="L696">
        <v>130.85</v>
      </c>
      <c r="M696">
        <v>10.36</v>
      </c>
      <c r="N696">
        <v>1.35</v>
      </c>
      <c r="O696">
        <v>45.3</v>
      </c>
      <c r="P696">
        <v>24.38</v>
      </c>
      <c r="Q696">
        <v>99.34</v>
      </c>
      <c r="R696">
        <v>111.67</v>
      </c>
      <c r="S696">
        <v>22000</v>
      </c>
      <c r="T696">
        <v>2002000</v>
      </c>
    </row>
    <row r="697" spans="1:20" x14ac:dyDescent="0.25">
      <c r="A697" t="s">
        <v>87</v>
      </c>
      <c r="B697" t="s">
        <v>88</v>
      </c>
      <c r="C697" t="s">
        <v>89</v>
      </c>
      <c r="D697" t="s">
        <v>132</v>
      </c>
      <c r="E697" t="s">
        <v>133</v>
      </c>
      <c r="F697" t="s">
        <v>134</v>
      </c>
      <c r="G697" t="s">
        <v>26</v>
      </c>
      <c r="H697">
        <v>138</v>
      </c>
      <c r="I697">
        <v>1075.3499999999999</v>
      </c>
      <c r="J697">
        <v>293.89</v>
      </c>
      <c r="K697">
        <v>27.33</v>
      </c>
      <c r="L697">
        <v>-81.239999999999995</v>
      </c>
      <c r="M697">
        <v>-7.56</v>
      </c>
      <c r="N697">
        <v>1.17</v>
      </c>
      <c r="O697">
        <v>18</v>
      </c>
      <c r="P697">
        <v>33.39</v>
      </c>
      <c r="Q697">
        <v>130.88</v>
      </c>
      <c r="R697">
        <v>146.80000000000001</v>
      </c>
      <c r="S697">
        <v>22000</v>
      </c>
      <c r="T697">
        <v>2002000</v>
      </c>
    </row>
    <row r="698" spans="1:20" x14ac:dyDescent="0.25">
      <c r="A698" t="s">
        <v>20</v>
      </c>
      <c r="B698" t="s">
        <v>21</v>
      </c>
      <c r="C698" t="s">
        <v>22</v>
      </c>
      <c r="D698" t="s">
        <v>135</v>
      </c>
      <c r="E698" t="s">
        <v>136</v>
      </c>
      <c r="F698" t="s">
        <v>134</v>
      </c>
      <c r="G698" t="s">
        <v>26</v>
      </c>
      <c r="H698">
        <v>78</v>
      </c>
      <c r="I698">
        <v>457.32</v>
      </c>
      <c r="J698">
        <v>81.44</v>
      </c>
      <c r="K698">
        <v>17.809999999999999</v>
      </c>
      <c r="L698">
        <v>36.020000000000003</v>
      </c>
      <c r="M698">
        <v>7.88</v>
      </c>
      <c r="N698">
        <v>0.73</v>
      </c>
      <c r="O698">
        <v>34.4</v>
      </c>
      <c r="P698">
        <v>0</v>
      </c>
      <c r="Q698">
        <v>63</v>
      </c>
      <c r="R698">
        <v>74.58</v>
      </c>
      <c r="S698">
        <v>12000</v>
      </c>
      <c r="T698">
        <v>1092000</v>
      </c>
    </row>
    <row r="699" spans="1:20" x14ac:dyDescent="0.25">
      <c r="A699" t="s">
        <v>27</v>
      </c>
      <c r="B699" t="s">
        <v>28</v>
      </c>
      <c r="C699" t="s">
        <v>22</v>
      </c>
      <c r="D699" t="s">
        <v>135</v>
      </c>
      <c r="E699" t="s">
        <v>136</v>
      </c>
      <c r="F699" t="s">
        <v>134</v>
      </c>
      <c r="G699" t="s">
        <v>26</v>
      </c>
      <c r="H699">
        <v>78</v>
      </c>
      <c r="I699">
        <v>428.83</v>
      </c>
      <c r="J699">
        <v>80.09</v>
      </c>
      <c r="K699">
        <v>18.68</v>
      </c>
      <c r="L699">
        <v>43.12</v>
      </c>
      <c r="M699">
        <v>10.06</v>
      </c>
      <c r="N699">
        <v>0.77</v>
      </c>
      <c r="O699">
        <v>65</v>
      </c>
      <c r="P699">
        <v>0</v>
      </c>
      <c r="Q699">
        <v>64.790000000000006</v>
      </c>
      <c r="R699">
        <v>73.34</v>
      </c>
      <c r="S699">
        <v>12000</v>
      </c>
      <c r="T699">
        <v>1092000</v>
      </c>
    </row>
    <row r="700" spans="1:20" x14ac:dyDescent="0.25">
      <c r="A700" t="s">
        <v>29</v>
      </c>
      <c r="B700" t="s">
        <v>30</v>
      </c>
      <c r="C700" t="s">
        <v>22</v>
      </c>
      <c r="D700" t="s">
        <v>135</v>
      </c>
      <c r="E700" t="s">
        <v>136</v>
      </c>
      <c r="F700" t="s">
        <v>134</v>
      </c>
      <c r="G700" t="s">
        <v>26</v>
      </c>
      <c r="H700">
        <v>78</v>
      </c>
      <c r="I700">
        <v>481.42</v>
      </c>
      <c r="J700">
        <v>77.650000000000006</v>
      </c>
      <c r="K700">
        <v>16.13</v>
      </c>
      <c r="L700">
        <v>23.58</v>
      </c>
      <c r="M700">
        <v>4.9000000000000004</v>
      </c>
      <c r="N700">
        <v>0.75</v>
      </c>
      <c r="O700">
        <v>9</v>
      </c>
      <c r="P700">
        <v>0</v>
      </c>
      <c r="Q700">
        <v>60.46</v>
      </c>
      <c r="R700">
        <v>71.11</v>
      </c>
      <c r="S700">
        <v>12000</v>
      </c>
      <c r="T700">
        <v>1092000</v>
      </c>
    </row>
    <row r="701" spans="1:20" x14ac:dyDescent="0.25">
      <c r="A701" t="s">
        <v>31</v>
      </c>
      <c r="B701" t="s">
        <v>32</v>
      </c>
      <c r="C701" t="s">
        <v>22</v>
      </c>
      <c r="D701" t="s">
        <v>135</v>
      </c>
      <c r="E701" t="s">
        <v>136</v>
      </c>
      <c r="F701" t="s">
        <v>134</v>
      </c>
      <c r="G701" t="s">
        <v>26</v>
      </c>
      <c r="H701">
        <v>78</v>
      </c>
      <c r="I701">
        <v>460.16</v>
      </c>
      <c r="J701">
        <v>84.05</v>
      </c>
      <c r="K701">
        <v>18.27</v>
      </c>
      <c r="L701">
        <v>20.52</v>
      </c>
      <c r="M701">
        <v>4.46</v>
      </c>
      <c r="N701">
        <v>0.84</v>
      </c>
      <c r="O701">
        <v>4</v>
      </c>
      <c r="P701">
        <v>0</v>
      </c>
      <c r="Q701">
        <v>65.66</v>
      </c>
      <c r="R701">
        <v>76.97</v>
      </c>
      <c r="S701">
        <v>12000</v>
      </c>
      <c r="T701">
        <v>1092000</v>
      </c>
    </row>
    <row r="702" spans="1:20" x14ac:dyDescent="0.25">
      <c r="A702" t="s">
        <v>33</v>
      </c>
      <c r="B702" t="s">
        <v>34</v>
      </c>
      <c r="C702" t="s">
        <v>22</v>
      </c>
      <c r="D702" t="s">
        <v>135</v>
      </c>
      <c r="E702" t="s">
        <v>136</v>
      </c>
      <c r="F702" t="s">
        <v>134</v>
      </c>
      <c r="G702" t="s">
        <v>26</v>
      </c>
      <c r="H702">
        <v>78</v>
      </c>
      <c r="I702">
        <v>450.39</v>
      </c>
      <c r="J702">
        <v>82.31</v>
      </c>
      <c r="K702">
        <v>18.28</v>
      </c>
      <c r="L702">
        <v>58.28</v>
      </c>
      <c r="M702">
        <v>12.94</v>
      </c>
      <c r="N702">
        <v>0.83</v>
      </c>
      <c r="O702">
        <v>30.2</v>
      </c>
      <c r="P702">
        <v>0</v>
      </c>
      <c r="Q702">
        <v>66.66</v>
      </c>
      <c r="R702">
        <v>75.38</v>
      </c>
      <c r="S702">
        <v>12000</v>
      </c>
      <c r="T702">
        <v>1092000</v>
      </c>
    </row>
    <row r="703" spans="1:20" x14ac:dyDescent="0.25">
      <c r="A703" t="s">
        <v>35</v>
      </c>
      <c r="B703" t="s">
        <v>36</v>
      </c>
      <c r="C703" t="s">
        <v>37</v>
      </c>
      <c r="D703" t="s">
        <v>135</v>
      </c>
      <c r="E703" t="s">
        <v>136</v>
      </c>
      <c r="F703" t="s">
        <v>134</v>
      </c>
      <c r="G703" t="s">
        <v>26</v>
      </c>
      <c r="H703">
        <v>78</v>
      </c>
      <c r="I703">
        <v>111.46</v>
      </c>
      <c r="J703">
        <v>25.87</v>
      </c>
      <c r="K703">
        <v>23.21</v>
      </c>
      <c r="L703">
        <v>-32.43</v>
      </c>
      <c r="M703">
        <v>-29.1</v>
      </c>
      <c r="N703">
        <v>0.18</v>
      </c>
      <c r="O703">
        <v>21.1</v>
      </c>
      <c r="P703">
        <v>0</v>
      </c>
      <c r="Q703">
        <v>20.57</v>
      </c>
      <c r="R703">
        <v>23.69</v>
      </c>
      <c r="S703">
        <v>12000</v>
      </c>
      <c r="T703">
        <v>1092000</v>
      </c>
    </row>
    <row r="704" spans="1:20" x14ac:dyDescent="0.25">
      <c r="A704" t="s">
        <v>38</v>
      </c>
      <c r="B704" t="s">
        <v>39</v>
      </c>
      <c r="C704" t="s">
        <v>37</v>
      </c>
      <c r="D704" t="s">
        <v>135</v>
      </c>
      <c r="E704" t="s">
        <v>136</v>
      </c>
      <c r="F704" t="s">
        <v>134</v>
      </c>
      <c r="G704" t="s">
        <v>26</v>
      </c>
      <c r="H704">
        <v>78</v>
      </c>
      <c r="I704">
        <v>134.05000000000001</v>
      </c>
      <c r="J704">
        <v>55.07</v>
      </c>
      <c r="K704">
        <v>41.08</v>
      </c>
      <c r="L704">
        <v>-40.369999999999997</v>
      </c>
      <c r="M704">
        <v>-30.12</v>
      </c>
      <c r="N704">
        <v>0.22</v>
      </c>
      <c r="O704">
        <v>6.6</v>
      </c>
      <c r="P704">
        <v>0</v>
      </c>
      <c r="Q704">
        <v>44.05</v>
      </c>
      <c r="R704">
        <v>50.43</v>
      </c>
      <c r="S704">
        <v>12000</v>
      </c>
      <c r="T704">
        <v>1092000</v>
      </c>
    </row>
    <row r="705" spans="1:20" x14ac:dyDescent="0.25">
      <c r="A705" t="s">
        <v>40</v>
      </c>
      <c r="B705" t="s">
        <v>41</v>
      </c>
      <c r="C705" t="s">
        <v>37</v>
      </c>
      <c r="D705" t="s">
        <v>135</v>
      </c>
      <c r="E705" t="s">
        <v>136</v>
      </c>
      <c r="F705" t="s">
        <v>134</v>
      </c>
      <c r="G705" t="s">
        <v>26</v>
      </c>
      <c r="H705">
        <v>78</v>
      </c>
      <c r="I705">
        <v>73.7</v>
      </c>
      <c r="J705">
        <v>49.86</v>
      </c>
      <c r="K705">
        <v>67.66</v>
      </c>
      <c r="L705">
        <v>-23.75</v>
      </c>
      <c r="M705">
        <v>-32.229999999999997</v>
      </c>
      <c r="N705">
        <v>0.13</v>
      </c>
      <c r="O705">
        <v>42.7</v>
      </c>
      <c r="P705">
        <v>0</v>
      </c>
      <c r="Q705">
        <v>39.950000000000003</v>
      </c>
      <c r="R705">
        <v>45.66</v>
      </c>
      <c r="S705">
        <v>12000</v>
      </c>
      <c r="T705">
        <v>1092000</v>
      </c>
    </row>
    <row r="706" spans="1:20" x14ac:dyDescent="0.25">
      <c r="A706" t="s">
        <v>42</v>
      </c>
      <c r="B706" t="s">
        <v>43</v>
      </c>
      <c r="C706" t="s">
        <v>37</v>
      </c>
      <c r="D706" t="s">
        <v>135</v>
      </c>
      <c r="E706" t="s">
        <v>136</v>
      </c>
      <c r="F706" t="s">
        <v>134</v>
      </c>
      <c r="G706" t="s">
        <v>26</v>
      </c>
      <c r="H706">
        <v>78</v>
      </c>
      <c r="I706">
        <v>148.04</v>
      </c>
      <c r="J706">
        <v>93.66</v>
      </c>
      <c r="K706">
        <v>63.27</v>
      </c>
      <c r="L706">
        <v>-36.409999999999997</v>
      </c>
      <c r="M706">
        <v>-24.59</v>
      </c>
      <c r="N706">
        <v>0.23</v>
      </c>
      <c r="O706">
        <v>51.6</v>
      </c>
      <c r="P706">
        <v>0</v>
      </c>
      <c r="Q706">
        <v>75.489999999999995</v>
      </c>
      <c r="R706">
        <v>85.77</v>
      </c>
      <c r="S706">
        <v>12000</v>
      </c>
      <c r="T706">
        <v>1092000</v>
      </c>
    </row>
    <row r="707" spans="1:20" x14ac:dyDescent="0.25">
      <c r="A707" t="s">
        <v>44</v>
      </c>
      <c r="B707" t="s">
        <v>45</v>
      </c>
      <c r="C707" t="s">
        <v>37</v>
      </c>
      <c r="D707" t="s">
        <v>135</v>
      </c>
      <c r="E707" t="s">
        <v>136</v>
      </c>
      <c r="F707" t="s">
        <v>134</v>
      </c>
      <c r="G707" t="s">
        <v>26</v>
      </c>
      <c r="H707">
        <v>78</v>
      </c>
      <c r="I707">
        <v>128.37</v>
      </c>
      <c r="J707">
        <v>99.28</v>
      </c>
      <c r="K707">
        <v>77.34</v>
      </c>
      <c r="L707">
        <v>-31.19</v>
      </c>
      <c r="M707">
        <v>-24.3</v>
      </c>
      <c r="N707">
        <v>0.23</v>
      </c>
      <c r="O707">
        <v>22.5</v>
      </c>
      <c r="P707">
        <v>0.23</v>
      </c>
      <c r="Q707">
        <v>76.83</v>
      </c>
      <c r="R707">
        <v>90.92</v>
      </c>
      <c r="S707">
        <v>12000</v>
      </c>
      <c r="T707">
        <v>1092000</v>
      </c>
    </row>
    <row r="708" spans="1:20" x14ac:dyDescent="0.25">
      <c r="A708" t="s">
        <v>46</v>
      </c>
      <c r="B708" t="s">
        <v>47</v>
      </c>
      <c r="C708" t="s">
        <v>48</v>
      </c>
      <c r="D708" t="s">
        <v>135</v>
      </c>
      <c r="E708" t="s">
        <v>136</v>
      </c>
      <c r="F708" t="s">
        <v>134</v>
      </c>
      <c r="G708" t="s">
        <v>26</v>
      </c>
      <c r="H708">
        <v>78</v>
      </c>
      <c r="I708">
        <v>316.19</v>
      </c>
      <c r="J708">
        <v>98.19</v>
      </c>
      <c r="K708">
        <v>31.05</v>
      </c>
      <c r="L708">
        <v>6.91</v>
      </c>
      <c r="M708">
        <v>2.1800000000000002</v>
      </c>
      <c r="N708">
        <v>0.51</v>
      </c>
      <c r="O708">
        <v>22.7</v>
      </c>
      <c r="P708">
        <v>0</v>
      </c>
      <c r="Q708">
        <v>78.97</v>
      </c>
      <c r="R708">
        <v>89.92</v>
      </c>
      <c r="S708">
        <v>12000</v>
      </c>
      <c r="T708">
        <v>1092000</v>
      </c>
    </row>
    <row r="709" spans="1:20" x14ac:dyDescent="0.25">
      <c r="A709" t="s">
        <v>49</v>
      </c>
      <c r="B709" t="s">
        <v>50</v>
      </c>
      <c r="C709" t="s">
        <v>48</v>
      </c>
      <c r="D709" t="s">
        <v>135</v>
      </c>
      <c r="E709" t="s">
        <v>136</v>
      </c>
      <c r="F709" t="s">
        <v>134</v>
      </c>
      <c r="G709" t="s">
        <v>26</v>
      </c>
      <c r="H709">
        <v>78</v>
      </c>
      <c r="I709">
        <v>298.72000000000003</v>
      </c>
      <c r="J709">
        <v>113.84</v>
      </c>
      <c r="K709">
        <v>38.11</v>
      </c>
      <c r="L709">
        <v>23.56</v>
      </c>
      <c r="M709">
        <v>7.89</v>
      </c>
      <c r="N709">
        <v>0.48</v>
      </c>
      <c r="O709">
        <v>50.7</v>
      </c>
      <c r="P709">
        <v>9.14</v>
      </c>
      <c r="Q709">
        <v>86.82</v>
      </c>
      <c r="R709">
        <v>104.25</v>
      </c>
      <c r="S709">
        <v>12000</v>
      </c>
      <c r="T709">
        <v>1092000</v>
      </c>
    </row>
    <row r="710" spans="1:20" x14ac:dyDescent="0.25">
      <c r="A710" t="s">
        <v>51</v>
      </c>
      <c r="B710" t="s">
        <v>52</v>
      </c>
      <c r="C710" t="s">
        <v>48</v>
      </c>
      <c r="D710" t="s">
        <v>135</v>
      </c>
      <c r="E710" t="s">
        <v>136</v>
      </c>
      <c r="F710" t="s">
        <v>134</v>
      </c>
      <c r="G710" t="s">
        <v>26</v>
      </c>
      <c r="H710">
        <v>78</v>
      </c>
      <c r="I710">
        <v>381.88</v>
      </c>
      <c r="J710">
        <v>88.93</v>
      </c>
      <c r="K710">
        <v>23.29</v>
      </c>
      <c r="L710">
        <v>29.02</v>
      </c>
      <c r="M710">
        <v>7.6</v>
      </c>
      <c r="N710">
        <v>0.66</v>
      </c>
      <c r="O710">
        <v>35</v>
      </c>
      <c r="P710">
        <v>0</v>
      </c>
      <c r="Q710">
        <v>72.010000000000005</v>
      </c>
      <c r="R710">
        <v>81.44</v>
      </c>
      <c r="S710">
        <v>12000</v>
      </c>
      <c r="T710">
        <v>1092000</v>
      </c>
    </row>
    <row r="711" spans="1:20" x14ac:dyDescent="0.25">
      <c r="A711" t="s">
        <v>53</v>
      </c>
      <c r="B711" t="s">
        <v>54</v>
      </c>
      <c r="C711" t="s">
        <v>55</v>
      </c>
      <c r="D711" t="s">
        <v>135</v>
      </c>
      <c r="E711" t="s">
        <v>136</v>
      </c>
      <c r="F711" t="s">
        <v>134</v>
      </c>
      <c r="G711" t="s">
        <v>26</v>
      </c>
      <c r="H711">
        <v>78</v>
      </c>
      <c r="I711">
        <v>432.83</v>
      </c>
      <c r="J711">
        <v>143.74</v>
      </c>
      <c r="K711">
        <v>33.21</v>
      </c>
      <c r="L711">
        <v>38.49</v>
      </c>
      <c r="M711">
        <v>8.89</v>
      </c>
      <c r="N711">
        <v>0.7</v>
      </c>
      <c r="O711">
        <v>6.9</v>
      </c>
      <c r="P711">
        <v>4.59</v>
      </c>
      <c r="Q711">
        <v>109.53</v>
      </c>
      <c r="R711">
        <v>131.63</v>
      </c>
      <c r="S711">
        <v>12000</v>
      </c>
      <c r="T711">
        <v>1092000</v>
      </c>
    </row>
    <row r="712" spans="1:20" x14ac:dyDescent="0.25">
      <c r="A712" t="s">
        <v>56</v>
      </c>
      <c r="B712" t="s">
        <v>57</v>
      </c>
      <c r="C712" t="s">
        <v>55</v>
      </c>
      <c r="D712" t="s">
        <v>135</v>
      </c>
      <c r="E712" t="s">
        <v>136</v>
      </c>
      <c r="F712" t="s">
        <v>134</v>
      </c>
      <c r="G712" t="s">
        <v>26</v>
      </c>
      <c r="H712">
        <v>78</v>
      </c>
      <c r="I712">
        <v>431.47</v>
      </c>
      <c r="J712">
        <v>103.18</v>
      </c>
      <c r="K712">
        <v>23.91</v>
      </c>
      <c r="L712">
        <v>19.510000000000002</v>
      </c>
      <c r="M712">
        <v>4.5199999999999996</v>
      </c>
      <c r="N712">
        <v>0.76</v>
      </c>
      <c r="O712">
        <v>11</v>
      </c>
      <c r="P712">
        <v>0.56999999999999995</v>
      </c>
      <c r="Q712">
        <v>80.69</v>
      </c>
      <c r="R712">
        <v>94.49</v>
      </c>
      <c r="S712">
        <v>12000</v>
      </c>
      <c r="T712">
        <v>1092000</v>
      </c>
    </row>
    <row r="713" spans="1:20" x14ac:dyDescent="0.25">
      <c r="A713" t="s">
        <v>58</v>
      </c>
      <c r="B713" t="s">
        <v>59</v>
      </c>
      <c r="C713" t="s">
        <v>55</v>
      </c>
      <c r="D713" t="s">
        <v>135</v>
      </c>
      <c r="E713" t="s">
        <v>136</v>
      </c>
      <c r="F713" t="s">
        <v>134</v>
      </c>
      <c r="G713" t="s">
        <v>26</v>
      </c>
      <c r="H713">
        <v>78</v>
      </c>
      <c r="I713">
        <v>433.52</v>
      </c>
      <c r="J713">
        <v>115.27</v>
      </c>
      <c r="K713">
        <v>26.59</v>
      </c>
      <c r="L713">
        <v>11.33</v>
      </c>
      <c r="M713">
        <v>2.61</v>
      </c>
      <c r="N713">
        <v>0.78</v>
      </c>
      <c r="O713">
        <v>47.1</v>
      </c>
      <c r="P713">
        <v>9.39</v>
      </c>
      <c r="Q713">
        <v>93.25</v>
      </c>
      <c r="R713">
        <v>105.56</v>
      </c>
      <c r="S713">
        <v>12000</v>
      </c>
      <c r="T713">
        <v>1092000</v>
      </c>
    </row>
    <row r="714" spans="1:20" x14ac:dyDescent="0.25">
      <c r="A714" t="s">
        <v>60</v>
      </c>
      <c r="B714" t="s">
        <v>61</v>
      </c>
      <c r="C714" t="s">
        <v>62</v>
      </c>
      <c r="D714" t="s">
        <v>135</v>
      </c>
      <c r="E714" t="s">
        <v>136</v>
      </c>
      <c r="F714" t="s">
        <v>134</v>
      </c>
      <c r="G714" t="s">
        <v>26</v>
      </c>
      <c r="H714">
        <v>78</v>
      </c>
      <c r="I714">
        <v>453.09</v>
      </c>
      <c r="J714">
        <v>106.07</v>
      </c>
      <c r="K714">
        <v>23.41</v>
      </c>
      <c r="L714">
        <v>37.61</v>
      </c>
      <c r="M714">
        <v>8.3000000000000007</v>
      </c>
      <c r="N714">
        <v>0.71</v>
      </c>
      <c r="O714">
        <v>25</v>
      </c>
      <c r="P714">
        <v>2.1</v>
      </c>
      <c r="Q714">
        <v>84.29</v>
      </c>
      <c r="R714">
        <v>97.13</v>
      </c>
      <c r="S714">
        <v>12000</v>
      </c>
      <c r="T714">
        <v>1092000</v>
      </c>
    </row>
    <row r="715" spans="1:20" x14ac:dyDescent="0.25">
      <c r="A715" t="s">
        <v>63</v>
      </c>
      <c r="B715" t="s">
        <v>64</v>
      </c>
      <c r="C715" t="s">
        <v>62</v>
      </c>
      <c r="D715" t="s">
        <v>135</v>
      </c>
      <c r="E715" t="s">
        <v>136</v>
      </c>
      <c r="F715" t="s">
        <v>134</v>
      </c>
      <c r="G715" t="s">
        <v>26</v>
      </c>
      <c r="H715">
        <v>78</v>
      </c>
      <c r="I715">
        <v>480.55</v>
      </c>
      <c r="J715">
        <v>111.35</v>
      </c>
      <c r="K715">
        <v>23.17</v>
      </c>
      <c r="L715">
        <v>25.89</v>
      </c>
      <c r="M715">
        <v>5.39</v>
      </c>
      <c r="N715">
        <v>0.85</v>
      </c>
      <c r="O715">
        <v>3.1</v>
      </c>
      <c r="P715">
        <v>0.46</v>
      </c>
      <c r="Q715">
        <v>88.18</v>
      </c>
      <c r="R715">
        <v>101.97</v>
      </c>
      <c r="S715">
        <v>12000</v>
      </c>
      <c r="T715">
        <v>1092000</v>
      </c>
    </row>
    <row r="716" spans="1:20" x14ac:dyDescent="0.25">
      <c r="A716" t="s">
        <v>65</v>
      </c>
      <c r="B716" t="s">
        <v>66</v>
      </c>
      <c r="C716" t="s">
        <v>62</v>
      </c>
      <c r="D716" t="s">
        <v>135</v>
      </c>
      <c r="E716" t="s">
        <v>136</v>
      </c>
      <c r="F716" t="s">
        <v>134</v>
      </c>
      <c r="G716" t="s">
        <v>26</v>
      </c>
      <c r="H716">
        <v>78</v>
      </c>
      <c r="I716">
        <v>445.73</v>
      </c>
      <c r="J716">
        <v>106.49</v>
      </c>
      <c r="K716">
        <v>23.89</v>
      </c>
      <c r="L716">
        <v>55.58</v>
      </c>
      <c r="M716">
        <v>12.47</v>
      </c>
      <c r="N716">
        <v>0.74</v>
      </c>
      <c r="O716">
        <v>45.7</v>
      </c>
      <c r="P716">
        <v>4.07</v>
      </c>
      <c r="Q716">
        <v>85.16</v>
      </c>
      <c r="R716">
        <v>97.52</v>
      </c>
      <c r="S716">
        <v>12000</v>
      </c>
      <c r="T716">
        <v>1092000</v>
      </c>
    </row>
    <row r="717" spans="1:20" x14ac:dyDescent="0.25">
      <c r="A717" t="s">
        <v>67</v>
      </c>
      <c r="B717" t="s">
        <v>68</v>
      </c>
      <c r="C717" t="s">
        <v>69</v>
      </c>
      <c r="D717" t="s">
        <v>135</v>
      </c>
      <c r="E717" t="s">
        <v>136</v>
      </c>
      <c r="F717" t="s">
        <v>134</v>
      </c>
      <c r="G717" t="s">
        <v>26</v>
      </c>
      <c r="H717">
        <v>78</v>
      </c>
      <c r="I717">
        <v>433.56</v>
      </c>
      <c r="J717">
        <v>98.24</v>
      </c>
      <c r="K717">
        <v>22.66</v>
      </c>
      <c r="L717">
        <v>46.97</v>
      </c>
      <c r="M717">
        <v>10.83</v>
      </c>
      <c r="N717">
        <v>0.78</v>
      </c>
      <c r="O717">
        <v>52.3</v>
      </c>
      <c r="P717">
        <v>0</v>
      </c>
      <c r="Q717">
        <v>78.33</v>
      </c>
      <c r="R717">
        <v>89.96</v>
      </c>
      <c r="S717">
        <v>12000</v>
      </c>
      <c r="T717">
        <v>1092000</v>
      </c>
    </row>
    <row r="718" spans="1:20" x14ac:dyDescent="0.25">
      <c r="A718" t="s">
        <v>70</v>
      </c>
      <c r="B718" t="s">
        <v>71</v>
      </c>
      <c r="C718" t="s">
        <v>69</v>
      </c>
      <c r="D718" t="s">
        <v>135</v>
      </c>
      <c r="E718" t="s">
        <v>136</v>
      </c>
      <c r="F718" t="s">
        <v>134</v>
      </c>
      <c r="G718" t="s">
        <v>26</v>
      </c>
      <c r="H718">
        <v>78</v>
      </c>
      <c r="I718">
        <v>453.17</v>
      </c>
      <c r="J718">
        <v>108.13</v>
      </c>
      <c r="K718">
        <v>23.86</v>
      </c>
      <c r="L718">
        <v>59.1</v>
      </c>
      <c r="M718">
        <v>13.04</v>
      </c>
      <c r="N718">
        <v>0.77</v>
      </c>
      <c r="O718">
        <v>53.2</v>
      </c>
      <c r="P718">
        <v>5.77</v>
      </c>
      <c r="Q718">
        <v>84.61</v>
      </c>
      <c r="R718">
        <v>99.02</v>
      </c>
      <c r="S718">
        <v>12000</v>
      </c>
      <c r="T718">
        <v>1092000</v>
      </c>
    </row>
    <row r="719" spans="1:20" x14ac:dyDescent="0.25">
      <c r="A719" t="s">
        <v>72</v>
      </c>
      <c r="B719" t="s">
        <v>73</v>
      </c>
      <c r="C719" t="s">
        <v>69</v>
      </c>
      <c r="D719" t="s">
        <v>135</v>
      </c>
      <c r="E719" t="s">
        <v>136</v>
      </c>
      <c r="F719" t="s">
        <v>134</v>
      </c>
      <c r="G719" t="s">
        <v>26</v>
      </c>
      <c r="H719">
        <v>78</v>
      </c>
      <c r="I719">
        <v>439.99</v>
      </c>
      <c r="J719">
        <v>111.14</v>
      </c>
      <c r="K719">
        <v>25.26</v>
      </c>
      <c r="L719">
        <v>26.85</v>
      </c>
      <c r="M719">
        <v>6.1</v>
      </c>
      <c r="N719">
        <v>0.78</v>
      </c>
      <c r="O719">
        <v>42</v>
      </c>
      <c r="P719">
        <v>6.11</v>
      </c>
      <c r="Q719">
        <v>84.06</v>
      </c>
      <c r="R719">
        <v>101.78</v>
      </c>
      <c r="S719">
        <v>12000</v>
      </c>
      <c r="T719">
        <v>1092000</v>
      </c>
    </row>
    <row r="720" spans="1:20" x14ac:dyDescent="0.25">
      <c r="A720" t="s">
        <v>74</v>
      </c>
      <c r="B720" t="s">
        <v>75</v>
      </c>
      <c r="C720" t="s">
        <v>69</v>
      </c>
      <c r="D720" t="s">
        <v>135</v>
      </c>
      <c r="E720" t="s">
        <v>136</v>
      </c>
      <c r="F720" t="s">
        <v>134</v>
      </c>
      <c r="G720" t="s">
        <v>26</v>
      </c>
      <c r="H720">
        <v>78</v>
      </c>
      <c r="I720">
        <v>467.06</v>
      </c>
      <c r="J720">
        <v>102.63</v>
      </c>
      <c r="K720">
        <v>21.97</v>
      </c>
      <c r="L720">
        <v>29.73</v>
      </c>
      <c r="M720">
        <v>6.37</v>
      </c>
      <c r="N720">
        <v>0.77</v>
      </c>
      <c r="O720">
        <v>16.8</v>
      </c>
      <c r="P720">
        <v>0.76</v>
      </c>
      <c r="Q720">
        <v>80.400000000000006</v>
      </c>
      <c r="R720">
        <v>93.98</v>
      </c>
      <c r="S720">
        <v>12000</v>
      </c>
      <c r="T720">
        <v>1092000</v>
      </c>
    </row>
    <row r="721" spans="1:20" x14ac:dyDescent="0.25">
      <c r="A721" t="s">
        <v>76</v>
      </c>
      <c r="B721" t="s">
        <v>77</v>
      </c>
      <c r="C721" t="s">
        <v>69</v>
      </c>
      <c r="D721" t="s">
        <v>135</v>
      </c>
      <c r="E721" t="s">
        <v>136</v>
      </c>
      <c r="F721" t="s">
        <v>134</v>
      </c>
      <c r="G721" t="s">
        <v>26</v>
      </c>
      <c r="H721">
        <v>78</v>
      </c>
      <c r="I721">
        <v>431.49</v>
      </c>
      <c r="J721">
        <v>122.87</v>
      </c>
      <c r="K721">
        <v>28.48</v>
      </c>
      <c r="L721">
        <v>26.06</v>
      </c>
      <c r="M721">
        <v>6.04</v>
      </c>
      <c r="N721">
        <v>0.8</v>
      </c>
      <c r="O721">
        <v>15.2</v>
      </c>
      <c r="P721">
        <v>4.67</v>
      </c>
      <c r="Q721">
        <v>94.78</v>
      </c>
      <c r="R721">
        <v>112.52</v>
      </c>
      <c r="S721">
        <v>12000</v>
      </c>
      <c r="T721">
        <v>1092000</v>
      </c>
    </row>
    <row r="722" spans="1:20" x14ac:dyDescent="0.25">
      <c r="A722" t="s">
        <v>78</v>
      </c>
      <c r="B722" t="s">
        <v>79</v>
      </c>
      <c r="C722" t="s">
        <v>80</v>
      </c>
      <c r="D722" t="s">
        <v>135</v>
      </c>
      <c r="E722" t="s">
        <v>136</v>
      </c>
      <c r="F722" t="s">
        <v>134</v>
      </c>
      <c r="G722" t="s">
        <v>26</v>
      </c>
      <c r="H722">
        <v>78</v>
      </c>
      <c r="I722">
        <v>436.82</v>
      </c>
      <c r="J722">
        <v>110.88</v>
      </c>
      <c r="K722">
        <v>25.38</v>
      </c>
      <c r="L722">
        <v>47.91</v>
      </c>
      <c r="M722">
        <v>10.97</v>
      </c>
      <c r="N722">
        <v>0.75</v>
      </c>
      <c r="O722">
        <v>48.5</v>
      </c>
      <c r="P722">
        <v>6.9</v>
      </c>
      <c r="Q722">
        <v>85.13</v>
      </c>
      <c r="R722">
        <v>101.54</v>
      </c>
      <c r="S722">
        <v>12000</v>
      </c>
      <c r="T722">
        <v>1092000</v>
      </c>
    </row>
    <row r="723" spans="1:20" x14ac:dyDescent="0.25">
      <c r="A723" t="s">
        <v>81</v>
      </c>
      <c r="B723" t="s">
        <v>82</v>
      </c>
      <c r="C723" t="s">
        <v>80</v>
      </c>
      <c r="D723" t="s">
        <v>135</v>
      </c>
      <c r="E723" t="s">
        <v>136</v>
      </c>
      <c r="F723" t="s">
        <v>134</v>
      </c>
      <c r="G723" t="s">
        <v>26</v>
      </c>
      <c r="H723">
        <v>78</v>
      </c>
      <c r="I723">
        <v>465.74</v>
      </c>
      <c r="J723">
        <v>131.51</v>
      </c>
      <c r="K723">
        <v>28.24</v>
      </c>
      <c r="L723">
        <v>29.02</v>
      </c>
      <c r="M723">
        <v>6.23</v>
      </c>
      <c r="N723">
        <v>0.78</v>
      </c>
      <c r="O723">
        <v>11.5</v>
      </c>
      <c r="P723">
        <v>5.1100000000000003</v>
      </c>
      <c r="Q723">
        <v>101.77</v>
      </c>
      <c r="R723">
        <v>120.43</v>
      </c>
      <c r="S723">
        <v>12000</v>
      </c>
      <c r="T723">
        <v>1092000</v>
      </c>
    </row>
    <row r="724" spans="1:20" x14ac:dyDescent="0.25">
      <c r="A724" t="s">
        <v>83</v>
      </c>
      <c r="B724" t="s">
        <v>84</v>
      </c>
      <c r="C724" t="s">
        <v>80</v>
      </c>
      <c r="D724" t="s">
        <v>135</v>
      </c>
      <c r="E724" t="s">
        <v>136</v>
      </c>
      <c r="F724" t="s">
        <v>134</v>
      </c>
      <c r="G724" t="s">
        <v>26</v>
      </c>
      <c r="H724">
        <v>78</v>
      </c>
      <c r="I724">
        <v>442.33</v>
      </c>
      <c r="J724">
        <v>122.54</v>
      </c>
      <c r="K724">
        <v>27.7</v>
      </c>
      <c r="L724">
        <v>61.35</v>
      </c>
      <c r="M724">
        <v>13.87</v>
      </c>
      <c r="N724">
        <v>0.78</v>
      </c>
      <c r="O724">
        <v>50.9</v>
      </c>
      <c r="P724">
        <v>15.4</v>
      </c>
      <c r="Q724">
        <v>93.24</v>
      </c>
      <c r="R724">
        <v>112.22</v>
      </c>
      <c r="S724">
        <v>12000</v>
      </c>
      <c r="T724">
        <v>1092000</v>
      </c>
    </row>
    <row r="725" spans="1:20" x14ac:dyDescent="0.25">
      <c r="A725" t="s">
        <v>85</v>
      </c>
      <c r="B725" t="s">
        <v>86</v>
      </c>
      <c r="C725" t="s">
        <v>80</v>
      </c>
      <c r="D725" t="s">
        <v>135</v>
      </c>
      <c r="E725" t="s">
        <v>136</v>
      </c>
      <c r="F725" t="s">
        <v>134</v>
      </c>
      <c r="G725" t="s">
        <v>26</v>
      </c>
      <c r="H725">
        <v>78</v>
      </c>
      <c r="I725">
        <v>429.26</v>
      </c>
      <c r="J725">
        <v>121.94</v>
      </c>
      <c r="K725">
        <v>28.41</v>
      </c>
      <c r="L725">
        <v>33.57</v>
      </c>
      <c r="M725">
        <v>7.82</v>
      </c>
      <c r="N725">
        <v>0.73</v>
      </c>
      <c r="O725">
        <v>9.6999999999999993</v>
      </c>
      <c r="P725">
        <v>2.85</v>
      </c>
      <c r="Q725">
        <v>99.34</v>
      </c>
      <c r="R725">
        <v>111.67</v>
      </c>
      <c r="S725">
        <v>12000</v>
      </c>
      <c r="T725">
        <v>1092000</v>
      </c>
    </row>
    <row r="726" spans="1:20" x14ac:dyDescent="0.25">
      <c r="A726" t="s">
        <v>87</v>
      </c>
      <c r="B726" t="s">
        <v>88</v>
      </c>
      <c r="C726" t="s">
        <v>89</v>
      </c>
      <c r="D726" t="s">
        <v>135</v>
      </c>
      <c r="E726" t="s">
        <v>136</v>
      </c>
      <c r="F726" t="s">
        <v>134</v>
      </c>
      <c r="G726" t="s">
        <v>26</v>
      </c>
      <c r="H726">
        <v>78</v>
      </c>
      <c r="I726">
        <v>391.37</v>
      </c>
      <c r="J726">
        <v>160.31</v>
      </c>
      <c r="K726">
        <v>40.96</v>
      </c>
      <c r="L726">
        <v>-86.92</v>
      </c>
      <c r="M726">
        <v>-22.21</v>
      </c>
      <c r="N726">
        <v>0.68</v>
      </c>
      <c r="O726">
        <v>36</v>
      </c>
      <c r="P726">
        <v>36.42</v>
      </c>
      <c r="Q726">
        <v>130.88</v>
      </c>
      <c r="R726">
        <v>146.80000000000001</v>
      </c>
      <c r="S726">
        <v>12000</v>
      </c>
      <c r="T726">
        <v>1092000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CBAF-1B10-4736-BF53-32A4F8EC0F4F}">
  <dimension ref="A1:V726"/>
  <sheetViews>
    <sheetView workbookViewId="0">
      <pane xSplit="4" ySplit="1" topLeftCell="E2" activePane="bottomRight" state="frozen"/>
      <selection pane="topRight" activeCell="E1" sqref="E1"/>
      <selection pane="bottomLeft" activeCell="A2" sqref="A2"/>
      <selection pane="bottomRight" activeCell="I1" sqref="I1"/>
    </sheetView>
  </sheetViews>
  <sheetFormatPr defaultRowHeight="15" x14ac:dyDescent="0.25"/>
  <cols>
    <col min="1" max="1" width="8.140625" bestFit="1" customWidth="1"/>
    <col min="2" max="2" width="7.7109375" bestFit="1" customWidth="1"/>
    <col min="3" max="3" width="7.7109375" customWidth="1"/>
    <col min="4" max="4" width="8.85546875" bestFit="1" customWidth="1"/>
    <col min="5" max="5" width="21.85546875" bestFit="1" customWidth="1"/>
    <col min="6" max="6" width="17.28515625" bestFit="1" customWidth="1"/>
    <col min="8" max="9" width="11.140625" bestFit="1" customWidth="1"/>
    <col min="11" max="11" width="14.7109375" bestFit="1" customWidth="1"/>
    <col min="12" max="12" width="15.7109375" bestFit="1" customWidth="1"/>
    <col min="13" max="13" width="20.42578125" bestFit="1" customWidth="1"/>
    <col min="14" max="14" width="16.140625" bestFit="1" customWidth="1"/>
    <col min="15" max="15" width="16.5703125" bestFit="1" customWidth="1"/>
    <col min="16" max="16" width="21.140625" bestFit="1" customWidth="1"/>
    <col min="17" max="17" width="15.85546875" bestFit="1" customWidth="1"/>
    <col min="18" max="18" width="20.85546875" bestFit="1" customWidth="1"/>
    <col min="19" max="19" width="22.140625" bestFit="1" customWidth="1"/>
    <col min="20" max="20" width="17.85546875" bestFit="1" customWidth="1"/>
    <col min="21" max="21" width="26.28515625" bestFit="1" customWidth="1"/>
    <col min="22" max="22" width="16.85546875" bestFit="1" customWidth="1"/>
  </cols>
  <sheetData>
    <row r="1" spans="1:22" x14ac:dyDescent="0.25">
      <c r="A1" t="s">
        <v>0</v>
      </c>
      <c r="B1" t="s">
        <v>1</v>
      </c>
      <c r="C1" t="s">
        <v>137</v>
      </c>
      <c r="D1" t="s">
        <v>138</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row>
    <row r="2" spans="1:22" x14ac:dyDescent="0.25">
      <c r="A2" t="s">
        <v>20</v>
      </c>
      <c r="B2" t="s">
        <v>21</v>
      </c>
      <c r="C2" t="str">
        <f>LEFT(B2,4)</f>
        <v>2019</v>
      </c>
      <c r="D2" t="str">
        <f>RIGHT(B2,2)</f>
        <v>01</v>
      </c>
      <c r="E2" t="s">
        <v>22</v>
      </c>
      <c r="F2" t="s">
        <v>23</v>
      </c>
      <c r="G2" t="s">
        <v>24</v>
      </c>
      <c r="H2" t="s">
        <v>25</v>
      </c>
      <c r="I2" t="s">
        <v>26</v>
      </c>
      <c r="J2">
        <v>260</v>
      </c>
      <c r="K2">
        <v>7254.03</v>
      </c>
      <c r="L2">
        <v>576.88</v>
      </c>
      <c r="M2">
        <v>7.9500000000000001E-2</v>
      </c>
      <c r="N2">
        <v>995.04</v>
      </c>
      <c r="O2">
        <v>0.13720000000000002</v>
      </c>
      <c r="P2">
        <v>2.31</v>
      </c>
      <c r="Q2">
        <v>0.64</v>
      </c>
      <c r="R2">
        <v>0</v>
      </c>
      <c r="S2">
        <v>63</v>
      </c>
      <c r="T2">
        <v>74.58</v>
      </c>
      <c r="U2">
        <v>85000</v>
      </c>
      <c r="V2">
        <v>7735000</v>
      </c>
    </row>
    <row r="3" spans="1:22" x14ac:dyDescent="0.25">
      <c r="A3" t="s">
        <v>27</v>
      </c>
      <c r="B3" t="s">
        <v>28</v>
      </c>
      <c r="C3" t="str">
        <f t="shared" ref="C3:C66" si="0">LEFT(B3,4)</f>
        <v>2019</v>
      </c>
      <c r="D3" t="str">
        <f t="shared" ref="D3:D66" si="1">RIGHT(B3,2)</f>
        <v>04</v>
      </c>
      <c r="E3" t="s">
        <v>22</v>
      </c>
      <c r="F3" t="s">
        <v>23</v>
      </c>
      <c r="G3" t="s">
        <v>24</v>
      </c>
      <c r="H3" t="s">
        <v>25</v>
      </c>
      <c r="I3" t="s">
        <v>26</v>
      </c>
      <c r="J3">
        <v>260</v>
      </c>
      <c r="K3">
        <v>7685.08</v>
      </c>
      <c r="L3">
        <v>567.28</v>
      </c>
      <c r="M3">
        <v>7.3800000000000004E-2</v>
      </c>
      <c r="N3">
        <v>973.28</v>
      </c>
      <c r="O3">
        <v>0.12659999999999999</v>
      </c>
      <c r="P3">
        <v>2.86</v>
      </c>
      <c r="Q3">
        <v>0.56000000000000005</v>
      </c>
      <c r="R3">
        <v>0</v>
      </c>
      <c r="S3">
        <v>64.790000000000006</v>
      </c>
      <c r="T3">
        <v>73.34</v>
      </c>
      <c r="U3">
        <v>85000</v>
      </c>
      <c r="V3">
        <v>7735000</v>
      </c>
    </row>
    <row r="4" spans="1:22" x14ac:dyDescent="0.25">
      <c r="A4" t="s">
        <v>29</v>
      </c>
      <c r="B4" t="s">
        <v>30</v>
      </c>
      <c r="C4" t="str">
        <f t="shared" si="0"/>
        <v>2019</v>
      </c>
      <c r="D4" t="str">
        <f t="shared" si="1"/>
        <v>07</v>
      </c>
      <c r="E4" t="s">
        <v>22</v>
      </c>
      <c r="F4" t="s">
        <v>23</v>
      </c>
      <c r="G4" t="s">
        <v>24</v>
      </c>
      <c r="H4" t="s">
        <v>25</v>
      </c>
      <c r="I4" t="s">
        <v>26</v>
      </c>
      <c r="J4">
        <v>260</v>
      </c>
      <c r="K4">
        <v>7655.78</v>
      </c>
      <c r="L4">
        <v>550.04</v>
      </c>
      <c r="M4">
        <v>7.1800000000000003E-2</v>
      </c>
      <c r="N4">
        <v>994.88</v>
      </c>
      <c r="O4">
        <v>0.13</v>
      </c>
      <c r="P4">
        <v>2.64</v>
      </c>
      <c r="Q4">
        <v>0.61099999999999999</v>
      </c>
      <c r="R4">
        <v>0</v>
      </c>
      <c r="S4">
        <v>60.46</v>
      </c>
      <c r="T4">
        <v>71.11</v>
      </c>
      <c r="U4">
        <v>85000</v>
      </c>
      <c r="V4">
        <v>7735000</v>
      </c>
    </row>
    <row r="5" spans="1:22" x14ac:dyDescent="0.25">
      <c r="A5" t="s">
        <v>31</v>
      </c>
      <c r="B5" t="s">
        <v>32</v>
      </c>
      <c r="C5" t="str">
        <f t="shared" si="0"/>
        <v>2019</v>
      </c>
      <c r="D5" t="str">
        <f t="shared" si="1"/>
        <v>10</v>
      </c>
      <c r="E5" t="s">
        <v>22</v>
      </c>
      <c r="F5" t="s">
        <v>23</v>
      </c>
      <c r="G5" t="s">
        <v>24</v>
      </c>
      <c r="H5" t="s">
        <v>25</v>
      </c>
      <c r="I5" t="s">
        <v>26</v>
      </c>
      <c r="J5">
        <v>260</v>
      </c>
      <c r="K5">
        <v>7250.33</v>
      </c>
      <c r="L5">
        <v>595.36</v>
      </c>
      <c r="M5">
        <v>8.2100000000000006E-2</v>
      </c>
      <c r="N5">
        <v>818.21</v>
      </c>
      <c r="O5">
        <v>0.11289999999999999</v>
      </c>
      <c r="P5">
        <v>2.63</v>
      </c>
      <c r="Q5">
        <v>0.53400000000000003</v>
      </c>
      <c r="R5">
        <v>0</v>
      </c>
      <c r="S5">
        <v>65.66</v>
      </c>
      <c r="T5">
        <v>76.97</v>
      </c>
      <c r="U5">
        <v>85000</v>
      </c>
      <c r="V5">
        <v>7735000</v>
      </c>
    </row>
    <row r="6" spans="1:22" x14ac:dyDescent="0.25">
      <c r="A6" t="s">
        <v>33</v>
      </c>
      <c r="B6" t="s">
        <v>34</v>
      </c>
      <c r="C6" t="str">
        <f t="shared" si="0"/>
        <v>2020</v>
      </c>
      <c r="D6" t="str">
        <f t="shared" si="1"/>
        <v>01</v>
      </c>
      <c r="E6" t="s">
        <v>22</v>
      </c>
      <c r="F6" t="s">
        <v>23</v>
      </c>
      <c r="G6" t="s">
        <v>24</v>
      </c>
      <c r="H6" t="s">
        <v>25</v>
      </c>
      <c r="I6" t="s">
        <v>26</v>
      </c>
      <c r="J6">
        <v>260</v>
      </c>
      <c r="K6">
        <v>7583.43</v>
      </c>
      <c r="L6">
        <v>583.05999999999995</v>
      </c>
      <c r="M6">
        <v>7.690000000000001E-2</v>
      </c>
      <c r="N6">
        <v>330.17</v>
      </c>
      <c r="O6">
        <v>4.3499999999999997E-2</v>
      </c>
      <c r="P6">
        <v>2.76</v>
      </c>
      <c r="Q6">
        <v>1.4999999999999999E-2</v>
      </c>
      <c r="R6">
        <v>0</v>
      </c>
      <c r="S6">
        <v>66.66</v>
      </c>
      <c r="T6">
        <v>75.38</v>
      </c>
      <c r="U6">
        <v>85000</v>
      </c>
      <c r="V6">
        <v>7735000</v>
      </c>
    </row>
    <row r="7" spans="1:22" x14ac:dyDescent="0.25">
      <c r="A7" t="s">
        <v>35</v>
      </c>
      <c r="B7" t="s">
        <v>36</v>
      </c>
      <c r="C7" t="str">
        <f t="shared" si="0"/>
        <v>2020</v>
      </c>
      <c r="D7" t="str">
        <f t="shared" si="1"/>
        <v>04</v>
      </c>
      <c r="E7" t="s">
        <v>37</v>
      </c>
      <c r="F7" t="s">
        <v>23</v>
      </c>
      <c r="G7" t="s">
        <v>24</v>
      </c>
      <c r="H7" t="s">
        <v>25</v>
      </c>
      <c r="I7" t="s">
        <v>26</v>
      </c>
      <c r="J7">
        <v>260</v>
      </c>
      <c r="K7">
        <v>1860.68</v>
      </c>
      <c r="L7">
        <v>183.24</v>
      </c>
      <c r="M7">
        <v>9.849999999999999E-2</v>
      </c>
      <c r="N7">
        <v>-447.05</v>
      </c>
      <c r="O7">
        <v>-0.24030000000000001</v>
      </c>
      <c r="P7">
        <v>0.69</v>
      </c>
      <c r="Q7">
        <v>0.54700000000000004</v>
      </c>
      <c r="R7">
        <v>0</v>
      </c>
      <c r="S7">
        <v>20.57</v>
      </c>
      <c r="T7">
        <v>23.69</v>
      </c>
      <c r="U7">
        <v>85000</v>
      </c>
      <c r="V7">
        <v>7735000</v>
      </c>
    </row>
    <row r="8" spans="1:22" x14ac:dyDescent="0.25">
      <c r="A8" t="s">
        <v>38</v>
      </c>
      <c r="B8" t="s">
        <v>39</v>
      </c>
      <c r="C8" t="str">
        <f t="shared" si="0"/>
        <v>2020</v>
      </c>
      <c r="D8" t="str">
        <f t="shared" si="1"/>
        <v>07</v>
      </c>
      <c r="E8" t="s">
        <v>37</v>
      </c>
      <c r="F8" t="s">
        <v>23</v>
      </c>
      <c r="G8" t="s">
        <v>24</v>
      </c>
      <c r="H8" t="s">
        <v>25</v>
      </c>
      <c r="I8" t="s">
        <v>26</v>
      </c>
      <c r="J8">
        <v>260</v>
      </c>
      <c r="K8">
        <v>1961</v>
      </c>
      <c r="L8">
        <v>390.08</v>
      </c>
      <c r="M8">
        <v>0.19889999999999999</v>
      </c>
      <c r="N8">
        <v>-792.33</v>
      </c>
      <c r="O8">
        <v>-0.40399999999999997</v>
      </c>
      <c r="P8">
        <v>0.68</v>
      </c>
      <c r="Q8">
        <v>0.33600000000000002</v>
      </c>
      <c r="R8">
        <v>0</v>
      </c>
      <c r="S8">
        <v>44.05</v>
      </c>
      <c r="T8">
        <v>50.43</v>
      </c>
      <c r="U8">
        <v>85000</v>
      </c>
      <c r="V8">
        <v>7735000</v>
      </c>
    </row>
    <row r="9" spans="1:22" x14ac:dyDescent="0.25">
      <c r="A9" t="s">
        <v>40</v>
      </c>
      <c r="B9" t="s">
        <v>41</v>
      </c>
      <c r="C9" t="str">
        <f t="shared" si="0"/>
        <v>2020</v>
      </c>
      <c r="D9" t="str">
        <f t="shared" si="1"/>
        <v>10</v>
      </c>
      <c r="E9" t="s">
        <v>37</v>
      </c>
      <c r="F9" t="s">
        <v>23</v>
      </c>
      <c r="G9" t="s">
        <v>24</v>
      </c>
      <c r="H9" t="s">
        <v>25</v>
      </c>
      <c r="I9" t="s">
        <v>26</v>
      </c>
      <c r="J9">
        <v>260</v>
      </c>
      <c r="K9">
        <v>1558.41</v>
      </c>
      <c r="L9">
        <v>353.18</v>
      </c>
      <c r="M9">
        <v>0.2266</v>
      </c>
      <c r="N9">
        <v>-536.05999999999995</v>
      </c>
      <c r="O9">
        <v>-0.34399999999999997</v>
      </c>
      <c r="P9">
        <v>0.57999999999999996</v>
      </c>
      <c r="Q9">
        <v>0.33700000000000002</v>
      </c>
      <c r="R9">
        <v>0</v>
      </c>
      <c r="S9">
        <v>39.950000000000003</v>
      </c>
      <c r="T9">
        <v>45.66</v>
      </c>
      <c r="U9">
        <v>85000</v>
      </c>
      <c r="V9">
        <v>7735000</v>
      </c>
    </row>
    <row r="10" spans="1:22" x14ac:dyDescent="0.25">
      <c r="A10" t="s">
        <v>42</v>
      </c>
      <c r="B10" t="s">
        <v>43</v>
      </c>
      <c r="C10" t="str">
        <f t="shared" si="0"/>
        <v>2021</v>
      </c>
      <c r="D10" t="str">
        <f t="shared" si="1"/>
        <v>01</v>
      </c>
      <c r="E10" t="s">
        <v>37</v>
      </c>
      <c r="F10" t="s">
        <v>23</v>
      </c>
      <c r="G10" t="s">
        <v>24</v>
      </c>
      <c r="H10" t="s">
        <v>25</v>
      </c>
      <c r="I10" t="s">
        <v>26</v>
      </c>
      <c r="J10">
        <v>260</v>
      </c>
      <c r="K10">
        <v>2109.38</v>
      </c>
      <c r="L10">
        <v>663.43</v>
      </c>
      <c r="M10">
        <v>0.3145</v>
      </c>
      <c r="N10">
        <v>-687.76</v>
      </c>
      <c r="O10">
        <v>-0.32600000000000001</v>
      </c>
      <c r="P10">
        <v>0.75</v>
      </c>
      <c r="Q10">
        <v>0.06</v>
      </c>
      <c r="R10">
        <v>0</v>
      </c>
      <c r="S10">
        <v>75.489999999999995</v>
      </c>
      <c r="T10">
        <v>85.77</v>
      </c>
      <c r="U10">
        <v>85000</v>
      </c>
      <c r="V10">
        <v>7735000</v>
      </c>
    </row>
    <row r="11" spans="1:22" x14ac:dyDescent="0.25">
      <c r="A11" t="s">
        <v>44</v>
      </c>
      <c r="B11" t="s">
        <v>45</v>
      </c>
      <c r="C11" t="str">
        <f t="shared" si="0"/>
        <v>2021</v>
      </c>
      <c r="D11" t="str">
        <f t="shared" si="1"/>
        <v>04</v>
      </c>
      <c r="E11" t="s">
        <v>37</v>
      </c>
      <c r="F11" t="s">
        <v>23</v>
      </c>
      <c r="G11" t="s">
        <v>24</v>
      </c>
      <c r="H11" t="s">
        <v>25</v>
      </c>
      <c r="I11" t="s">
        <v>26</v>
      </c>
      <c r="J11">
        <v>260</v>
      </c>
      <c r="K11">
        <v>2438.0100000000002</v>
      </c>
      <c r="L11">
        <v>703.27</v>
      </c>
      <c r="M11">
        <v>0.28850000000000003</v>
      </c>
      <c r="N11">
        <v>-831.4</v>
      </c>
      <c r="O11">
        <v>-0.34100000000000003</v>
      </c>
      <c r="P11">
        <v>0.89</v>
      </c>
      <c r="Q11">
        <v>0.434</v>
      </c>
      <c r="R11">
        <v>3.12</v>
      </c>
      <c r="S11">
        <v>76.83</v>
      </c>
      <c r="T11">
        <v>90.92</v>
      </c>
      <c r="U11">
        <v>85000</v>
      </c>
      <c r="V11">
        <v>7735000</v>
      </c>
    </row>
    <row r="12" spans="1:22" x14ac:dyDescent="0.25">
      <c r="A12" t="s">
        <v>46</v>
      </c>
      <c r="B12" t="s">
        <v>47</v>
      </c>
      <c r="C12" t="str">
        <f t="shared" si="0"/>
        <v>2021</v>
      </c>
      <c r="D12" t="str">
        <f t="shared" si="1"/>
        <v>07</v>
      </c>
      <c r="E12" t="s">
        <v>48</v>
      </c>
      <c r="F12" t="s">
        <v>23</v>
      </c>
      <c r="G12" t="s">
        <v>24</v>
      </c>
      <c r="H12" t="s">
        <v>25</v>
      </c>
      <c r="I12" t="s">
        <v>26</v>
      </c>
      <c r="J12">
        <v>260</v>
      </c>
      <c r="K12">
        <v>5871.44</v>
      </c>
      <c r="L12">
        <v>695.53</v>
      </c>
      <c r="M12">
        <v>0.11849999999999999</v>
      </c>
      <c r="N12">
        <v>-266.95</v>
      </c>
      <c r="O12">
        <v>-4.5499999999999999E-2</v>
      </c>
      <c r="P12">
        <v>2.2200000000000002</v>
      </c>
      <c r="Q12">
        <v>0.53900000000000003</v>
      </c>
      <c r="R12">
        <v>0</v>
      </c>
      <c r="S12">
        <v>78.97</v>
      </c>
      <c r="T12">
        <v>89.92</v>
      </c>
      <c r="U12">
        <v>85000</v>
      </c>
      <c r="V12">
        <v>7735000</v>
      </c>
    </row>
    <row r="13" spans="1:22" x14ac:dyDescent="0.25">
      <c r="A13" t="s">
        <v>49</v>
      </c>
      <c r="B13" t="s">
        <v>50</v>
      </c>
      <c r="C13" t="str">
        <f t="shared" si="0"/>
        <v>2021</v>
      </c>
      <c r="D13" t="str">
        <f t="shared" si="1"/>
        <v>10</v>
      </c>
      <c r="E13" t="s">
        <v>48</v>
      </c>
      <c r="F13" t="s">
        <v>23</v>
      </c>
      <c r="G13" t="s">
        <v>24</v>
      </c>
      <c r="H13" t="s">
        <v>25</v>
      </c>
      <c r="I13" t="s">
        <v>26</v>
      </c>
      <c r="J13">
        <v>260</v>
      </c>
      <c r="K13">
        <v>5921.45</v>
      </c>
      <c r="L13">
        <v>806.37</v>
      </c>
      <c r="M13">
        <v>0.13619999999999999</v>
      </c>
      <c r="N13">
        <v>63.51</v>
      </c>
      <c r="O13">
        <v>1.0700000000000001E-2</v>
      </c>
      <c r="P13">
        <v>2.1800000000000002</v>
      </c>
      <c r="Q13">
        <v>0.374</v>
      </c>
      <c r="R13">
        <v>47.75</v>
      </c>
      <c r="S13">
        <v>86.82</v>
      </c>
      <c r="T13">
        <v>104.25</v>
      </c>
      <c r="U13">
        <v>85000</v>
      </c>
      <c r="V13">
        <v>7735000</v>
      </c>
    </row>
    <row r="14" spans="1:22" x14ac:dyDescent="0.25">
      <c r="A14" t="s">
        <v>51</v>
      </c>
      <c r="B14" t="s">
        <v>52</v>
      </c>
      <c r="C14" t="str">
        <f t="shared" si="0"/>
        <v>2022</v>
      </c>
      <c r="D14" t="str">
        <f t="shared" si="1"/>
        <v>01</v>
      </c>
      <c r="E14" t="s">
        <v>48</v>
      </c>
      <c r="F14" t="s">
        <v>23</v>
      </c>
      <c r="G14" t="s">
        <v>24</v>
      </c>
      <c r="H14" t="s">
        <v>25</v>
      </c>
      <c r="I14" t="s">
        <v>26</v>
      </c>
      <c r="J14">
        <v>260</v>
      </c>
      <c r="K14">
        <v>5442.54</v>
      </c>
      <c r="L14">
        <v>629.94000000000005</v>
      </c>
      <c r="M14">
        <v>0.1157</v>
      </c>
      <c r="N14">
        <v>283.23</v>
      </c>
      <c r="O14">
        <v>5.2000000000000005E-2</v>
      </c>
      <c r="P14">
        <v>1.94</v>
      </c>
      <c r="Q14">
        <v>0.05</v>
      </c>
      <c r="R14">
        <v>0</v>
      </c>
      <c r="S14">
        <v>72.010000000000005</v>
      </c>
      <c r="T14">
        <v>81.44</v>
      </c>
      <c r="U14">
        <v>85000</v>
      </c>
      <c r="V14">
        <v>7735000</v>
      </c>
    </row>
    <row r="15" spans="1:22" x14ac:dyDescent="0.25">
      <c r="A15" t="s">
        <v>53</v>
      </c>
      <c r="B15" t="s">
        <v>54</v>
      </c>
      <c r="C15" t="str">
        <f t="shared" si="0"/>
        <v>2022</v>
      </c>
      <c r="D15" t="str">
        <f t="shared" si="1"/>
        <v>04</v>
      </c>
      <c r="E15" t="s">
        <v>55</v>
      </c>
      <c r="F15" t="s">
        <v>23</v>
      </c>
      <c r="G15" t="s">
        <v>24</v>
      </c>
      <c r="H15" t="s">
        <v>25</v>
      </c>
      <c r="I15" t="s">
        <v>26</v>
      </c>
      <c r="J15">
        <v>260</v>
      </c>
      <c r="K15">
        <v>6981.04</v>
      </c>
      <c r="L15">
        <v>1018.16</v>
      </c>
      <c r="M15">
        <v>0.14580000000000001</v>
      </c>
      <c r="N15">
        <v>487.05</v>
      </c>
      <c r="O15">
        <v>6.9800000000000001E-2</v>
      </c>
      <c r="P15">
        <v>2.62</v>
      </c>
      <c r="Q15">
        <v>0.60599999999999998</v>
      </c>
      <c r="R15">
        <v>285.39999999999998</v>
      </c>
      <c r="S15">
        <v>109.53</v>
      </c>
      <c r="T15">
        <v>131.63</v>
      </c>
      <c r="U15">
        <v>85000</v>
      </c>
      <c r="V15">
        <v>7735000</v>
      </c>
    </row>
    <row r="16" spans="1:22" x14ac:dyDescent="0.25">
      <c r="A16" t="s">
        <v>56</v>
      </c>
      <c r="B16" t="s">
        <v>57</v>
      </c>
      <c r="C16" t="str">
        <f t="shared" si="0"/>
        <v>2022</v>
      </c>
      <c r="D16" t="str">
        <f t="shared" si="1"/>
        <v>07</v>
      </c>
      <c r="E16" t="s">
        <v>55</v>
      </c>
      <c r="F16" t="s">
        <v>23</v>
      </c>
      <c r="G16" t="s">
        <v>24</v>
      </c>
      <c r="H16" t="s">
        <v>25</v>
      </c>
      <c r="I16" t="s">
        <v>26</v>
      </c>
      <c r="J16">
        <v>260</v>
      </c>
      <c r="K16">
        <v>7741.42</v>
      </c>
      <c r="L16">
        <v>730.88</v>
      </c>
      <c r="M16">
        <v>9.4399999999999998E-2</v>
      </c>
      <c r="N16">
        <v>312.33</v>
      </c>
      <c r="O16">
        <v>4.0300000000000002E-2</v>
      </c>
      <c r="P16">
        <v>2.68</v>
      </c>
      <c r="Q16">
        <v>0.28199999999999997</v>
      </c>
      <c r="R16">
        <v>10.28</v>
      </c>
      <c r="S16">
        <v>80.69</v>
      </c>
      <c r="T16">
        <v>94.49</v>
      </c>
      <c r="U16">
        <v>85000</v>
      </c>
      <c r="V16">
        <v>7735000</v>
      </c>
    </row>
    <row r="17" spans="1:22" x14ac:dyDescent="0.25">
      <c r="A17" t="s">
        <v>58</v>
      </c>
      <c r="B17" t="s">
        <v>59</v>
      </c>
      <c r="C17" t="str">
        <f t="shared" si="0"/>
        <v>2022</v>
      </c>
      <c r="D17" t="str">
        <f t="shared" si="1"/>
        <v>10</v>
      </c>
      <c r="E17" t="s">
        <v>55</v>
      </c>
      <c r="F17" t="s">
        <v>23</v>
      </c>
      <c r="G17" t="s">
        <v>24</v>
      </c>
      <c r="H17" t="s">
        <v>25</v>
      </c>
      <c r="I17" t="s">
        <v>26</v>
      </c>
      <c r="J17">
        <v>260</v>
      </c>
      <c r="K17">
        <v>7161.09</v>
      </c>
      <c r="L17">
        <v>816.51</v>
      </c>
      <c r="M17">
        <v>0.114</v>
      </c>
      <c r="N17">
        <v>171.74</v>
      </c>
      <c r="O17">
        <v>2.4E-2</v>
      </c>
      <c r="P17">
        <v>2.33</v>
      </c>
      <c r="Q17">
        <v>0.1</v>
      </c>
      <c r="R17">
        <v>14.12</v>
      </c>
      <c r="S17">
        <v>93.25</v>
      </c>
      <c r="T17">
        <v>105.56</v>
      </c>
      <c r="U17">
        <v>85000</v>
      </c>
      <c r="V17">
        <v>7735000</v>
      </c>
    </row>
    <row r="18" spans="1:22" x14ac:dyDescent="0.25">
      <c r="A18" t="s">
        <v>60</v>
      </c>
      <c r="B18" t="s">
        <v>61</v>
      </c>
      <c r="C18" t="str">
        <f t="shared" si="0"/>
        <v>2023</v>
      </c>
      <c r="D18" t="str">
        <f t="shared" si="1"/>
        <v>01</v>
      </c>
      <c r="E18" t="s">
        <v>62</v>
      </c>
      <c r="F18" t="s">
        <v>23</v>
      </c>
      <c r="G18" t="s">
        <v>24</v>
      </c>
      <c r="H18" t="s">
        <v>25</v>
      </c>
      <c r="I18" t="s">
        <v>26</v>
      </c>
      <c r="J18">
        <v>260</v>
      </c>
      <c r="K18">
        <v>7469.28</v>
      </c>
      <c r="L18">
        <v>751.3</v>
      </c>
      <c r="M18">
        <v>0.10060000000000001</v>
      </c>
      <c r="N18">
        <v>606.35</v>
      </c>
      <c r="O18">
        <v>8.1199999999999994E-2</v>
      </c>
      <c r="P18">
        <v>2.5099999999999998</v>
      </c>
      <c r="Q18">
        <v>0.28899999999999998</v>
      </c>
      <c r="R18">
        <v>17.2</v>
      </c>
      <c r="S18">
        <v>84.29</v>
      </c>
      <c r="T18">
        <v>97.13</v>
      </c>
      <c r="U18">
        <v>85000</v>
      </c>
      <c r="V18">
        <v>7735000</v>
      </c>
    </row>
    <row r="19" spans="1:22" x14ac:dyDescent="0.25">
      <c r="A19" t="s">
        <v>63</v>
      </c>
      <c r="B19" t="s">
        <v>64</v>
      </c>
      <c r="C19" t="str">
        <f t="shared" si="0"/>
        <v>2023</v>
      </c>
      <c r="D19" t="str">
        <f t="shared" si="1"/>
        <v>04</v>
      </c>
      <c r="E19" t="s">
        <v>62</v>
      </c>
      <c r="F19" t="s">
        <v>23</v>
      </c>
      <c r="G19" t="s">
        <v>24</v>
      </c>
      <c r="H19" t="s">
        <v>25</v>
      </c>
      <c r="I19" t="s">
        <v>26</v>
      </c>
      <c r="J19">
        <v>260</v>
      </c>
      <c r="K19">
        <v>7193.07</v>
      </c>
      <c r="L19">
        <v>788.74</v>
      </c>
      <c r="M19">
        <v>0.10970000000000001</v>
      </c>
      <c r="N19">
        <v>832.58</v>
      </c>
      <c r="O19">
        <v>0.1157</v>
      </c>
      <c r="P19">
        <v>2.34</v>
      </c>
      <c r="Q19">
        <v>3.6000000000000004E-2</v>
      </c>
      <c r="R19">
        <v>3.78</v>
      </c>
      <c r="S19">
        <v>88.18</v>
      </c>
      <c r="T19">
        <v>101.97</v>
      </c>
      <c r="U19">
        <v>85000</v>
      </c>
      <c r="V19">
        <v>7735000</v>
      </c>
    </row>
    <row r="20" spans="1:22" x14ac:dyDescent="0.25">
      <c r="A20" t="s">
        <v>65</v>
      </c>
      <c r="B20" t="s">
        <v>66</v>
      </c>
      <c r="C20" t="str">
        <f t="shared" si="0"/>
        <v>2023</v>
      </c>
      <c r="D20" t="str">
        <f t="shared" si="1"/>
        <v>07</v>
      </c>
      <c r="E20" t="s">
        <v>62</v>
      </c>
      <c r="F20" t="s">
        <v>23</v>
      </c>
      <c r="G20" t="s">
        <v>24</v>
      </c>
      <c r="H20" t="s">
        <v>25</v>
      </c>
      <c r="I20" t="s">
        <v>26</v>
      </c>
      <c r="J20">
        <v>260</v>
      </c>
      <c r="K20">
        <v>7500.79</v>
      </c>
      <c r="L20">
        <v>754.32</v>
      </c>
      <c r="M20">
        <v>0.10060000000000001</v>
      </c>
      <c r="N20">
        <v>472.98</v>
      </c>
      <c r="O20">
        <v>6.3099999999999989E-2</v>
      </c>
      <c r="P20">
        <v>2.68</v>
      </c>
      <c r="Q20">
        <v>3.7999999999999999E-2</v>
      </c>
      <c r="R20">
        <v>2.4</v>
      </c>
      <c r="S20">
        <v>85.16</v>
      </c>
      <c r="T20">
        <v>97.52</v>
      </c>
      <c r="U20">
        <v>85000</v>
      </c>
      <c r="V20">
        <v>7735000</v>
      </c>
    </row>
    <row r="21" spans="1:22" x14ac:dyDescent="0.25">
      <c r="A21" t="s">
        <v>67</v>
      </c>
      <c r="B21" t="s">
        <v>68</v>
      </c>
      <c r="C21" t="str">
        <f t="shared" si="0"/>
        <v>2023</v>
      </c>
      <c r="D21" t="str">
        <f t="shared" si="1"/>
        <v>10</v>
      </c>
      <c r="E21" t="s">
        <v>69</v>
      </c>
      <c r="F21" t="s">
        <v>23</v>
      </c>
      <c r="G21" t="s">
        <v>24</v>
      </c>
      <c r="H21" t="s">
        <v>25</v>
      </c>
      <c r="I21" t="s">
        <v>26</v>
      </c>
      <c r="J21">
        <v>260</v>
      </c>
      <c r="K21">
        <v>7120.39</v>
      </c>
      <c r="L21">
        <v>695.84</v>
      </c>
      <c r="M21">
        <v>9.7699999999999995E-2</v>
      </c>
      <c r="N21">
        <v>394.39</v>
      </c>
      <c r="O21">
        <v>5.5399999999999998E-2</v>
      </c>
      <c r="P21">
        <v>2.37</v>
      </c>
      <c r="Q21">
        <v>0.214</v>
      </c>
      <c r="R21">
        <v>0</v>
      </c>
      <c r="S21">
        <v>78.33</v>
      </c>
      <c r="T21">
        <v>89.96</v>
      </c>
      <c r="U21">
        <v>85000</v>
      </c>
      <c r="V21">
        <v>7735000</v>
      </c>
    </row>
    <row r="22" spans="1:22" x14ac:dyDescent="0.25">
      <c r="A22" t="s">
        <v>70</v>
      </c>
      <c r="B22" t="s">
        <v>71</v>
      </c>
      <c r="C22" t="str">
        <f t="shared" si="0"/>
        <v>2024</v>
      </c>
      <c r="D22" t="str">
        <f t="shared" si="1"/>
        <v>01</v>
      </c>
      <c r="E22" t="s">
        <v>69</v>
      </c>
      <c r="F22" t="s">
        <v>23</v>
      </c>
      <c r="G22" t="s">
        <v>24</v>
      </c>
      <c r="H22" t="s">
        <v>25</v>
      </c>
      <c r="I22" t="s">
        <v>26</v>
      </c>
      <c r="J22">
        <v>260</v>
      </c>
      <c r="K22">
        <v>7354.22</v>
      </c>
      <c r="L22">
        <v>765.92</v>
      </c>
      <c r="M22">
        <v>0.1041</v>
      </c>
      <c r="N22">
        <v>676.69</v>
      </c>
      <c r="O22">
        <v>9.1999999999999998E-2</v>
      </c>
      <c r="P22">
        <v>2.62</v>
      </c>
      <c r="Q22">
        <v>0.21600000000000003</v>
      </c>
      <c r="R22">
        <v>16.579999999999998</v>
      </c>
      <c r="S22">
        <v>84.61</v>
      </c>
      <c r="T22">
        <v>99.02</v>
      </c>
      <c r="U22">
        <v>85000</v>
      </c>
      <c r="V22">
        <v>7735000</v>
      </c>
    </row>
    <row r="23" spans="1:22" x14ac:dyDescent="0.25">
      <c r="A23" t="s">
        <v>72</v>
      </c>
      <c r="B23" t="s">
        <v>73</v>
      </c>
      <c r="C23" t="str">
        <f t="shared" si="0"/>
        <v>2024</v>
      </c>
      <c r="D23" t="str">
        <f t="shared" si="1"/>
        <v>04</v>
      </c>
      <c r="E23" t="s">
        <v>69</v>
      </c>
      <c r="F23" t="s">
        <v>23</v>
      </c>
      <c r="G23" t="s">
        <v>24</v>
      </c>
      <c r="H23" t="s">
        <v>25</v>
      </c>
      <c r="I23" t="s">
        <v>26</v>
      </c>
      <c r="J23">
        <v>260</v>
      </c>
      <c r="K23">
        <v>7388.93</v>
      </c>
      <c r="L23">
        <v>787.27</v>
      </c>
      <c r="M23">
        <v>0.1065</v>
      </c>
      <c r="N23">
        <v>1027.1500000000001</v>
      </c>
      <c r="O23">
        <v>0.13900000000000001</v>
      </c>
      <c r="P23">
        <v>2.42</v>
      </c>
      <c r="Q23">
        <v>9.9000000000000005E-2</v>
      </c>
      <c r="R23">
        <v>10.199999999999999</v>
      </c>
      <c r="S23">
        <v>84.06</v>
      </c>
      <c r="T23">
        <v>101.78</v>
      </c>
      <c r="U23">
        <v>85000</v>
      </c>
      <c r="V23">
        <v>7735000</v>
      </c>
    </row>
    <row r="24" spans="1:22" x14ac:dyDescent="0.25">
      <c r="A24" t="s">
        <v>74</v>
      </c>
      <c r="B24" t="s">
        <v>75</v>
      </c>
      <c r="C24" t="str">
        <f t="shared" si="0"/>
        <v>2024</v>
      </c>
      <c r="D24" t="str">
        <f t="shared" si="1"/>
        <v>07</v>
      </c>
      <c r="E24" t="s">
        <v>69</v>
      </c>
      <c r="F24" t="s">
        <v>23</v>
      </c>
      <c r="G24" t="s">
        <v>24</v>
      </c>
      <c r="H24" t="s">
        <v>25</v>
      </c>
      <c r="I24" t="s">
        <v>26</v>
      </c>
      <c r="J24">
        <v>260</v>
      </c>
      <c r="K24">
        <v>7681.62</v>
      </c>
      <c r="L24">
        <v>726.94</v>
      </c>
      <c r="M24">
        <v>9.4600000000000004E-2</v>
      </c>
      <c r="N24">
        <v>622.49</v>
      </c>
      <c r="O24">
        <v>8.1000000000000003E-2</v>
      </c>
      <c r="P24">
        <v>2.86</v>
      </c>
      <c r="Q24">
        <v>0.27600000000000002</v>
      </c>
      <c r="R24">
        <v>8.8699999999999992</v>
      </c>
      <c r="S24">
        <v>80.400000000000006</v>
      </c>
      <c r="T24">
        <v>93.98</v>
      </c>
      <c r="U24">
        <v>85000</v>
      </c>
      <c r="V24">
        <v>7735000</v>
      </c>
    </row>
    <row r="25" spans="1:22" x14ac:dyDescent="0.25">
      <c r="A25" t="s">
        <v>76</v>
      </c>
      <c r="B25" t="s">
        <v>77</v>
      </c>
      <c r="C25" t="str">
        <f t="shared" si="0"/>
        <v>2024</v>
      </c>
      <c r="D25" t="str">
        <f t="shared" si="1"/>
        <v>10</v>
      </c>
      <c r="E25" t="s">
        <v>69</v>
      </c>
      <c r="F25" t="s">
        <v>23</v>
      </c>
      <c r="G25" t="s">
        <v>24</v>
      </c>
      <c r="H25" t="s">
        <v>25</v>
      </c>
      <c r="I25" t="s">
        <v>26</v>
      </c>
      <c r="J25">
        <v>260</v>
      </c>
      <c r="K25">
        <v>6907.94</v>
      </c>
      <c r="L25">
        <v>870.34</v>
      </c>
      <c r="M25">
        <v>0.126</v>
      </c>
      <c r="N25">
        <v>535.28</v>
      </c>
      <c r="O25">
        <v>7.7499999999999999E-2</v>
      </c>
      <c r="P25">
        <v>2.46</v>
      </c>
      <c r="Q25">
        <v>0.29100000000000004</v>
      </c>
      <c r="R25">
        <v>63.37</v>
      </c>
      <c r="S25">
        <v>94.78</v>
      </c>
      <c r="T25">
        <v>112.52</v>
      </c>
      <c r="U25">
        <v>85000</v>
      </c>
      <c r="V25">
        <v>7735000</v>
      </c>
    </row>
    <row r="26" spans="1:22" x14ac:dyDescent="0.25">
      <c r="A26" t="s">
        <v>78</v>
      </c>
      <c r="B26" t="s">
        <v>79</v>
      </c>
      <c r="C26" t="str">
        <f t="shared" si="0"/>
        <v>2025</v>
      </c>
      <c r="D26" t="str">
        <f t="shared" si="1"/>
        <v>01</v>
      </c>
      <c r="E26" t="s">
        <v>80</v>
      </c>
      <c r="F26" t="s">
        <v>23</v>
      </c>
      <c r="G26" t="s">
        <v>24</v>
      </c>
      <c r="H26" t="s">
        <v>25</v>
      </c>
      <c r="I26" t="s">
        <v>26</v>
      </c>
      <c r="J26">
        <v>260</v>
      </c>
      <c r="K26">
        <v>7320.43</v>
      </c>
      <c r="L26">
        <v>785.41</v>
      </c>
      <c r="M26">
        <v>0.10730000000000001</v>
      </c>
      <c r="N26">
        <v>1023.63</v>
      </c>
      <c r="O26">
        <v>0.13980000000000001</v>
      </c>
      <c r="P26">
        <v>2.57</v>
      </c>
      <c r="Q26">
        <v>0.45299999999999996</v>
      </c>
      <c r="R26">
        <v>45.62</v>
      </c>
      <c r="S26">
        <v>85.13</v>
      </c>
      <c r="T26">
        <v>101.54</v>
      </c>
      <c r="U26">
        <v>85000</v>
      </c>
      <c r="V26">
        <v>7735000</v>
      </c>
    </row>
    <row r="27" spans="1:22" x14ac:dyDescent="0.25">
      <c r="A27" t="s">
        <v>81</v>
      </c>
      <c r="B27" t="s">
        <v>82</v>
      </c>
      <c r="C27" t="str">
        <f t="shared" si="0"/>
        <v>2025</v>
      </c>
      <c r="D27" t="str">
        <f t="shared" si="1"/>
        <v>04</v>
      </c>
      <c r="E27" t="s">
        <v>80</v>
      </c>
      <c r="F27" t="s">
        <v>23</v>
      </c>
      <c r="G27" t="s">
        <v>24</v>
      </c>
      <c r="H27" t="s">
        <v>25</v>
      </c>
      <c r="I27" t="s">
        <v>26</v>
      </c>
      <c r="J27">
        <v>260</v>
      </c>
      <c r="K27">
        <v>7567.02</v>
      </c>
      <c r="L27">
        <v>931.53</v>
      </c>
      <c r="M27">
        <v>0.1231</v>
      </c>
      <c r="N27">
        <v>302.81</v>
      </c>
      <c r="O27">
        <v>0.04</v>
      </c>
      <c r="P27">
        <v>2.66</v>
      </c>
      <c r="Q27">
        <v>0.626</v>
      </c>
      <c r="R27">
        <v>197.16</v>
      </c>
      <c r="S27">
        <v>101.77</v>
      </c>
      <c r="T27">
        <v>120.43</v>
      </c>
      <c r="U27">
        <v>85000</v>
      </c>
      <c r="V27">
        <v>7735000</v>
      </c>
    </row>
    <row r="28" spans="1:22" x14ac:dyDescent="0.25">
      <c r="A28" t="s">
        <v>83</v>
      </c>
      <c r="B28" t="s">
        <v>84</v>
      </c>
      <c r="C28" t="str">
        <f t="shared" si="0"/>
        <v>2025</v>
      </c>
      <c r="D28" t="str">
        <f t="shared" si="1"/>
        <v>07</v>
      </c>
      <c r="E28" t="s">
        <v>80</v>
      </c>
      <c r="F28" t="s">
        <v>23</v>
      </c>
      <c r="G28" t="s">
        <v>24</v>
      </c>
      <c r="H28" t="s">
        <v>25</v>
      </c>
      <c r="I28" t="s">
        <v>26</v>
      </c>
      <c r="J28">
        <v>260</v>
      </c>
      <c r="K28">
        <v>7595.15</v>
      </c>
      <c r="L28">
        <v>868.02</v>
      </c>
      <c r="M28">
        <v>0.1143</v>
      </c>
      <c r="N28">
        <v>562.37</v>
      </c>
      <c r="O28">
        <v>7.400000000000001E-2</v>
      </c>
      <c r="P28">
        <v>2.57</v>
      </c>
      <c r="Q28">
        <v>0.19699999999999998</v>
      </c>
      <c r="R28">
        <v>42.22</v>
      </c>
      <c r="S28">
        <v>93.24</v>
      </c>
      <c r="T28">
        <v>112.22</v>
      </c>
      <c r="U28">
        <v>85000</v>
      </c>
      <c r="V28">
        <v>7735000</v>
      </c>
    </row>
    <row r="29" spans="1:22" x14ac:dyDescent="0.25">
      <c r="A29" t="s">
        <v>85</v>
      </c>
      <c r="B29" t="s">
        <v>86</v>
      </c>
      <c r="C29" t="str">
        <f t="shared" si="0"/>
        <v>2025</v>
      </c>
      <c r="D29" t="str">
        <f t="shared" si="1"/>
        <v>10</v>
      </c>
      <c r="E29" t="s">
        <v>80</v>
      </c>
      <c r="F29" t="s">
        <v>23</v>
      </c>
      <c r="G29" t="s">
        <v>24</v>
      </c>
      <c r="H29" t="s">
        <v>25</v>
      </c>
      <c r="I29" t="s">
        <v>26</v>
      </c>
      <c r="J29">
        <v>260</v>
      </c>
      <c r="K29">
        <v>7481.47</v>
      </c>
      <c r="L29">
        <v>863.77</v>
      </c>
      <c r="M29">
        <v>0.11550000000000001</v>
      </c>
      <c r="N29">
        <v>372.07</v>
      </c>
      <c r="O29">
        <v>4.9699999999999994E-2</v>
      </c>
      <c r="P29">
        <v>2.4900000000000002</v>
      </c>
      <c r="Q29">
        <v>0.32400000000000001</v>
      </c>
      <c r="R29">
        <v>67.38</v>
      </c>
      <c r="S29">
        <v>99.34</v>
      </c>
      <c r="T29">
        <v>111.67</v>
      </c>
      <c r="U29">
        <v>85000</v>
      </c>
      <c r="V29">
        <v>7735000</v>
      </c>
    </row>
    <row r="30" spans="1:22" x14ac:dyDescent="0.25">
      <c r="A30" t="s">
        <v>87</v>
      </c>
      <c r="B30" t="s">
        <v>88</v>
      </c>
      <c r="C30" t="str">
        <f t="shared" si="0"/>
        <v>2026</v>
      </c>
      <c r="D30" t="str">
        <f t="shared" si="1"/>
        <v>01</v>
      </c>
      <c r="E30" t="s">
        <v>89</v>
      </c>
      <c r="F30" t="s">
        <v>23</v>
      </c>
      <c r="G30" t="s">
        <v>24</v>
      </c>
      <c r="H30" t="s">
        <v>25</v>
      </c>
      <c r="I30" t="s">
        <v>26</v>
      </c>
      <c r="J30">
        <v>260</v>
      </c>
      <c r="K30">
        <v>4595.08</v>
      </c>
      <c r="L30">
        <v>1135.5</v>
      </c>
      <c r="M30">
        <v>0.24710000000000001</v>
      </c>
      <c r="N30">
        <v>-590.54999999999995</v>
      </c>
      <c r="O30">
        <v>-0.1285</v>
      </c>
      <c r="P30">
        <v>1.69</v>
      </c>
      <c r="Q30">
        <v>0.106</v>
      </c>
      <c r="R30">
        <v>75.959999999999994</v>
      </c>
      <c r="S30">
        <v>130.88</v>
      </c>
      <c r="T30">
        <v>146.80000000000001</v>
      </c>
      <c r="U30">
        <v>85000</v>
      </c>
      <c r="V30">
        <v>7735000</v>
      </c>
    </row>
    <row r="31" spans="1:22" x14ac:dyDescent="0.25">
      <c r="A31" t="s">
        <v>20</v>
      </c>
      <c r="B31" t="s">
        <v>21</v>
      </c>
      <c r="C31" t="str">
        <f t="shared" si="0"/>
        <v>2019</v>
      </c>
      <c r="D31" t="str">
        <f t="shared" si="1"/>
        <v>01</v>
      </c>
      <c r="E31" t="s">
        <v>22</v>
      </c>
      <c r="F31" t="s">
        <v>90</v>
      </c>
      <c r="G31" t="s">
        <v>91</v>
      </c>
      <c r="H31" t="s">
        <v>25</v>
      </c>
      <c r="I31" t="s">
        <v>26</v>
      </c>
      <c r="J31">
        <v>234</v>
      </c>
      <c r="K31">
        <v>4529.04</v>
      </c>
      <c r="L31">
        <v>488.65</v>
      </c>
      <c r="M31">
        <v>0.1079</v>
      </c>
      <c r="N31">
        <v>576.24</v>
      </c>
      <c r="O31">
        <v>0.12720000000000001</v>
      </c>
      <c r="P31">
        <v>2.37</v>
      </c>
      <c r="Q31">
        <v>0.53400000000000003</v>
      </c>
      <c r="R31">
        <v>0</v>
      </c>
      <c r="S31">
        <v>63</v>
      </c>
      <c r="T31">
        <v>74.58</v>
      </c>
      <c r="U31">
        <v>72000</v>
      </c>
      <c r="V31">
        <v>6552000</v>
      </c>
    </row>
    <row r="32" spans="1:22" x14ac:dyDescent="0.25">
      <c r="A32" t="s">
        <v>27</v>
      </c>
      <c r="B32" t="s">
        <v>28</v>
      </c>
      <c r="C32" t="str">
        <f t="shared" si="0"/>
        <v>2019</v>
      </c>
      <c r="D32" t="str">
        <f t="shared" si="1"/>
        <v>04</v>
      </c>
      <c r="E32" t="s">
        <v>22</v>
      </c>
      <c r="F32" t="s">
        <v>90</v>
      </c>
      <c r="G32" t="s">
        <v>91</v>
      </c>
      <c r="H32" t="s">
        <v>25</v>
      </c>
      <c r="I32" t="s">
        <v>26</v>
      </c>
      <c r="J32">
        <v>234</v>
      </c>
      <c r="K32">
        <v>4519.18</v>
      </c>
      <c r="L32">
        <v>480.52</v>
      </c>
      <c r="M32">
        <v>0.10630000000000001</v>
      </c>
      <c r="N32">
        <v>207.09</v>
      </c>
      <c r="O32">
        <v>4.58E-2</v>
      </c>
      <c r="P32">
        <v>2.23</v>
      </c>
      <c r="Q32">
        <v>0.56600000000000006</v>
      </c>
      <c r="R32">
        <v>0</v>
      </c>
      <c r="S32">
        <v>64.790000000000006</v>
      </c>
      <c r="T32">
        <v>73.34</v>
      </c>
      <c r="U32">
        <v>72000</v>
      </c>
      <c r="V32">
        <v>6552000</v>
      </c>
    </row>
    <row r="33" spans="1:22" x14ac:dyDescent="0.25">
      <c r="A33" t="s">
        <v>29</v>
      </c>
      <c r="B33" t="s">
        <v>30</v>
      </c>
      <c r="C33" t="str">
        <f t="shared" si="0"/>
        <v>2019</v>
      </c>
      <c r="D33" t="str">
        <f t="shared" si="1"/>
        <v>07</v>
      </c>
      <c r="E33" t="s">
        <v>22</v>
      </c>
      <c r="F33" t="s">
        <v>90</v>
      </c>
      <c r="G33" t="s">
        <v>91</v>
      </c>
      <c r="H33" t="s">
        <v>25</v>
      </c>
      <c r="I33" t="s">
        <v>26</v>
      </c>
      <c r="J33">
        <v>234</v>
      </c>
      <c r="K33">
        <v>4536.5600000000004</v>
      </c>
      <c r="L33">
        <v>465.91</v>
      </c>
      <c r="M33">
        <v>0.1027</v>
      </c>
      <c r="N33">
        <v>591.66</v>
      </c>
      <c r="O33">
        <v>0.13039999999999999</v>
      </c>
      <c r="P33">
        <v>2.0699999999999998</v>
      </c>
      <c r="Q33">
        <v>0.19399999999999998</v>
      </c>
      <c r="R33">
        <v>0</v>
      </c>
      <c r="S33">
        <v>60.46</v>
      </c>
      <c r="T33">
        <v>71.11</v>
      </c>
      <c r="U33">
        <v>72000</v>
      </c>
      <c r="V33">
        <v>6552000</v>
      </c>
    </row>
    <row r="34" spans="1:22" x14ac:dyDescent="0.25">
      <c r="A34" t="s">
        <v>31</v>
      </c>
      <c r="B34" t="s">
        <v>32</v>
      </c>
      <c r="C34" t="str">
        <f t="shared" si="0"/>
        <v>2019</v>
      </c>
      <c r="D34" t="str">
        <f t="shared" si="1"/>
        <v>10</v>
      </c>
      <c r="E34" t="s">
        <v>22</v>
      </c>
      <c r="F34" t="s">
        <v>90</v>
      </c>
      <c r="G34" t="s">
        <v>91</v>
      </c>
      <c r="H34" t="s">
        <v>25</v>
      </c>
      <c r="I34" t="s">
        <v>26</v>
      </c>
      <c r="J34">
        <v>234</v>
      </c>
      <c r="K34">
        <v>4573.1000000000004</v>
      </c>
      <c r="L34">
        <v>504.31</v>
      </c>
      <c r="M34">
        <v>0.1103</v>
      </c>
      <c r="N34">
        <v>252.02</v>
      </c>
      <c r="O34">
        <v>5.5099999999999996E-2</v>
      </c>
      <c r="P34">
        <v>2.41</v>
      </c>
      <c r="Q34">
        <v>0.26800000000000002</v>
      </c>
      <c r="R34">
        <v>0</v>
      </c>
      <c r="S34">
        <v>65.66</v>
      </c>
      <c r="T34">
        <v>76.97</v>
      </c>
      <c r="U34">
        <v>72000</v>
      </c>
      <c r="V34">
        <v>6552000</v>
      </c>
    </row>
    <row r="35" spans="1:22" x14ac:dyDescent="0.25">
      <c r="A35" t="s">
        <v>33</v>
      </c>
      <c r="B35" t="s">
        <v>34</v>
      </c>
      <c r="C35" t="str">
        <f t="shared" si="0"/>
        <v>2020</v>
      </c>
      <c r="D35" t="str">
        <f t="shared" si="1"/>
        <v>01</v>
      </c>
      <c r="E35" t="s">
        <v>22</v>
      </c>
      <c r="F35" t="s">
        <v>90</v>
      </c>
      <c r="G35" t="s">
        <v>91</v>
      </c>
      <c r="H35" t="s">
        <v>25</v>
      </c>
      <c r="I35" t="s">
        <v>26</v>
      </c>
      <c r="J35">
        <v>234</v>
      </c>
      <c r="K35">
        <v>4508.38</v>
      </c>
      <c r="L35">
        <v>493.89</v>
      </c>
      <c r="M35">
        <v>0.10949999999999999</v>
      </c>
      <c r="N35">
        <v>246.72</v>
      </c>
      <c r="O35">
        <v>5.4699999999999999E-2</v>
      </c>
      <c r="P35">
        <v>2.1800000000000002</v>
      </c>
      <c r="Q35">
        <v>1.1000000000000001E-2</v>
      </c>
      <c r="R35">
        <v>0</v>
      </c>
      <c r="S35">
        <v>66.66</v>
      </c>
      <c r="T35">
        <v>75.38</v>
      </c>
      <c r="U35">
        <v>72000</v>
      </c>
      <c r="V35">
        <v>6552000</v>
      </c>
    </row>
    <row r="36" spans="1:22" x14ac:dyDescent="0.25">
      <c r="A36" t="s">
        <v>35</v>
      </c>
      <c r="B36" t="s">
        <v>36</v>
      </c>
      <c r="C36" t="str">
        <f t="shared" si="0"/>
        <v>2020</v>
      </c>
      <c r="D36" t="str">
        <f t="shared" si="1"/>
        <v>04</v>
      </c>
      <c r="E36" t="s">
        <v>37</v>
      </c>
      <c r="F36" t="s">
        <v>90</v>
      </c>
      <c r="G36" t="s">
        <v>91</v>
      </c>
      <c r="H36" t="s">
        <v>25</v>
      </c>
      <c r="I36" t="s">
        <v>26</v>
      </c>
      <c r="J36">
        <v>234</v>
      </c>
      <c r="K36">
        <v>805.73</v>
      </c>
      <c r="L36">
        <v>155.22</v>
      </c>
      <c r="M36">
        <v>0.19260000000000002</v>
      </c>
      <c r="N36">
        <v>-361.83</v>
      </c>
      <c r="O36">
        <v>-0.44909999999999994</v>
      </c>
      <c r="P36">
        <v>0.36</v>
      </c>
      <c r="Q36">
        <v>0.64800000000000002</v>
      </c>
      <c r="R36">
        <v>0</v>
      </c>
      <c r="S36">
        <v>20.57</v>
      </c>
      <c r="T36">
        <v>23.69</v>
      </c>
      <c r="U36">
        <v>72000</v>
      </c>
      <c r="V36">
        <v>6552000</v>
      </c>
    </row>
    <row r="37" spans="1:22" x14ac:dyDescent="0.25">
      <c r="A37" t="s">
        <v>38</v>
      </c>
      <c r="B37" t="s">
        <v>39</v>
      </c>
      <c r="C37" t="str">
        <f t="shared" si="0"/>
        <v>2020</v>
      </c>
      <c r="D37" t="str">
        <f t="shared" si="1"/>
        <v>07</v>
      </c>
      <c r="E37" t="s">
        <v>37</v>
      </c>
      <c r="F37" t="s">
        <v>90</v>
      </c>
      <c r="G37" t="s">
        <v>91</v>
      </c>
      <c r="H37" t="s">
        <v>25</v>
      </c>
      <c r="I37" t="s">
        <v>26</v>
      </c>
      <c r="J37">
        <v>234</v>
      </c>
      <c r="K37">
        <v>1108.97</v>
      </c>
      <c r="L37">
        <v>330.42</v>
      </c>
      <c r="M37">
        <v>0.2979</v>
      </c>
      <c r="N37">
        <v>-296.95</v>
      </c>
      <c r="O37">
        <v>-0.26780000000000004</v>
      </c>
      <c r="P37">
        <v>0.56999999999999995</v>
      </c>
      <c r="Q37">
        <v>0.57200000000000006</v>
      </c>
      <c r="R37">
        <v>0</v>
      </c>
      <c r="S37">
        <v>44.05</v>
      </c>
      <c r="T37">
        <v>50.43</v>
      </c>
      <c r="U37">
        <v>72000</v>
      </c>
      <c r="V37">
        <v>6552000</v>
      </c>
    </row>
    <row r="38" spans="1:22" x14ac:dyDescent="0.25">
      <c r="A38" t="s">
        <v>40</v>
      </c>
      <c r="B38" t="s">
        <v>41</v>
      </c>
      <c r="C38" t="str">
        <f t="shared" si="0"/>
        <v>2020</v>
      </c>
      <c r="D38" t="str">
        <f t="shared" si="1"/>
        <v>10</v>
      </c>
      <c r="E38" t="s">
        <v>37</v>
      </c>
      <c r="F38" t="s">
        <v>90</v>
      </c>
      <c r="G38" t="s">
        <v>91</v>
      </c>
      <c r="H38" t="s">
        <v>25</v>
      </c>
      <c r="I38" t="s">
        <v>26</v>
      </c>
      <c r="J38">
        <v>234</v>
      </c>
      <c r="K38">
        <v>789.71</v>
      </c>
      <c r="L38">
        <v>299.16000000000003</v>
      </c>
      <c r="M38">
        <v>0.37880000000000003</v>
      </c>
      <c r="N38">
        <v>-251.59</v>
      </c>
      <c r="O38">
        <v>-0.31859999999999999</v>
      </c>
      <c r="P38">
        <v>0.37</v>
      </c>
      <c r="Q38">
        <v>0.35700000000000004</v>
      </c>
      <c r="R38">
        <v>0</v>
      </c>
      <c r="S38">
        <v>39.950000000000003</v>
      </c>
      <c r="T38">
        <v>45.66</v>
      </c>
      <c r="U38">
        <v>72000</v>
      </c>
      <c r="V38">
        <v>6552000</v>
      </c>
    </row>
    <row r="39" spans="1:22" x14ac:dyDescent="0.25">
      <c r="A39" t="s">
        <v>42</v>
      </c>
      <c r="B39" t="s">
        <v>43</v>
      </c>
      <c r="C39" t="str">
        <f t="shared" si="0"/>
        <v>2021</v>
      </c>
      <c r="D39" t="str">
        <f t="shared" si="1"/>
        <v>01</v>
      </c>
      <c r="E39" t="s">
        <v>37</v>
      </c>
      <c r="F39" t="s">
        <v>90</v>
      </c>
      <c r="G39" t="s">
        <v>91</v>
      </c>
      <c r="H39" t="s">
        <v>25</v>
      </c>
      <c r="I39" t="s">
        <v>26</v>
      </c>
      <c r="J39">
        <v>234</v>
      </c>
      <c r="K39">
        <v>1000.96</v>
      </c>
      <c r="L39">
        <v>561.97</v>
      </c>
      <c r="M39">
        <v>0.56140000000000001</v>
      </c>
      <c r="N39">
        <v>-404.47</v>
      </c>
      <c r="O39">
        <v>-0.40409999999999996</v>
      </c>
      <c r="P39">
        <v>0.51</v>
      </c>
      <c r="Q39">
        <v>2.5000000000000001E-2</v>
      </c>
      <c r="R39">
        <v>0</v>
      </c>
      <c r="S39">
        <v>75.489999999999995</v>
      </c>
      <c r="T39">
        <v>85.77</v>
      </c>
      <c r="U39">
        <v>72000</v>
      </c>
      <c r="V39">
        <v>6552000</v>
      </c>
    </row>
    <row r="40" spans="1:22" x14ac:dyDescent="0.25">
      <c r="A40" t="s">
        <v>44</v>
      </c>
      <c r="B40" t="s">
        <v>45</v>
      </c>
      <c r="C40" t="str">
        <f t="shared" si="0"/>
        <v>2021</v>
      </c>
      <c r="D40" t="str">
        <f t="shared" si="1"/>
        <v>04</v>
      </c>
      <c r="E40" t="s">
        <v>37</v>
      </c>
      <c r="F40" t="s">
        <v>90</v>
      </c>
      <c r="G40" t="s">
        <v>91</v>
      </c>
      <c r="H40" t="s">
        <v>25</v>
      </c>
      <c r="I40" t="s">
        <v>26</v>
      </c>
      <c r="J40">
        <v>234</v>
      </c>
      <c r="K40">
        <v>1521.98</v>
      </c>
      <c r="L40">
        <v>595.71</v>
      </c>
      <c r="M40">
        <v>0.39140000000000003</v>
      </c>
      <c r="N40">
        <v>-629.24</v>
      </c>
      <c r="O40">
        <v>-0.41340000000000005</v>
      </c>
      <c r="P40">
        <v>0.76</v>
      </c>
      <c r="Q40">
        <v>0.49</v>
      </c>
      <c r="R40">
        <v>2.98</v>
      </c>
      <c r="S40">
        <v>76.83</v>
      </c>
      <c r="T40">
        <v>90.92</v>
      </c>
      <c r="U40">
        <v>72000</v>
      </c>
      <c r="V40">
        <v>6552000</v>
      </c>
    </row>
    <row r="41" spans="1:22" x14ac:dyDescent="0.25">
      <c r="A41" t="s">
        <v>46</v>
      </c>
      <c r="B41" t="s">
        <v>47</v>
      </c>
      <c r="C41" t="str">
        <f t="shared" si="0"/>
        <v>2021</v>
      </c>
      <c r="D41" t="str">
        <f t="shared" si="1"/>
        <v>07</v>
      </c>
      <c r="E41" t="s">
        <v>48</v>
      </c>
      <c r="F41" t="s">
        <v>90</v>
      </c>
      <c r="G41" t="s">
        <v>91</v>
      </c>
      <c r="H41" t="s">
        <v>25</v>
      </c>
      <c r="I41" t="s">
        <v>26</v>
      </c>
      <c r="J41">
        <v>234</v>
      </c>
      <c r="K41">
        <v>3073.71</v>
      </c>
      <c r="L41">
        <v>589.16</v>
      </c>
      <c r="M41">
        <v>0.19170000000000001</v>
      </c>
      <c r="N41">
        <v>207.25</v>
      </c>
      <c r="O41">
        <v>6.7400000000000002E-2</v>
      </c>
      <c r="P41">
        <v>1.47</v>
      </c>
      <c r="Q41">
        <v>0.64800000000000002</v>
      </c>
      <c r="R41">
        <v>0</v>
      </c>
      <c r="S41">
        <v>78.97</v>
      </c>
      <c r="T41">
        <v>89.92</v>
      </c>
      <c r="U41">
        <v>72000</v>
      </c>
      <c r="V41">
        <v>6552000</v>
      </c>
    </row>
    <row r="42" spans="1:22" x14ac:dyDescent="0.25">
      <c r="A42" t="s">
        <v>49</v>
      </c>
      <c r="B42" t="s">
        <v>50</v>
      </c>
      <c r="C42" t="str">
        <f t="shared" si="0"/>
        <v>2021</v>
      </c>
      <c r="D42" t="str">
        <f t="shared" si="1"/>
        <v>10</v>
      </c>
      <c r="E42" t="s">
        <v>48</v>
      </c>
      <c r="F42" t="s">
        <v>90</v>
      </c>
      <c r="G42" t="s">
        <v>91</v>
      </c>
      <c r="H42" t="s">
        <v>25</v>
      </c>
      <c r="I42" t="s">
        <v>26</v>
      </c>
      <c r="J42">
        <v>234</v>
      </c>
      <c r="K42">
        <v>3069.87</v>
      </c>
      <c r="L42">
        <v>683.05</v>
      </c>
      <c r="M42">
        <v>0.2225</v>
      </c>
      <c r="N42">
        <v>132.56</v>
      </c>
      <c r="O42">
        <v>4.3200000000000002E-2</v>
      </c>
      <c r="P42">
        <v>1.4</v>
      </c>
      <c r="Q42">
        <v>0.26200000000000001</v>
      </c>
      <c r="R42">
        <v>28.34</v>
      </c>
      <c r="S42">
        <v>86.82</v>
      </c>
      <c r="T42">
        <v>104.25</v>
      </c>
      <c r="U42">
        <v>72000</v>
      </c>
      <c r="V42">
        <v>6552000</v>
      </c>
    </row>
    <row r="43" spans="1:22" x14ac:dyDescent="0.25">
      <c r="A43" t="s">
        <v>51</v>
      </c>
      <c r="B43" t="s">
        <v>52</v>
      </c>
      <c r="C43" t="str">
        <f t="shared" si="0"/>
        <v>2022</v>
      </c>
      <c r="D43" t="str">
        <f t="shared" si="1"/>
        <v>01</v>
      </c>
      <c r="E43" t="s">
        <v>48</v>
      </c>
      <c r="F43" t="s">
        <v>90</v>
      </c>
      <c r="G43" t="s">
        <v>91</v>
      </c>
      <c r="H43" t="s">
        <v>25</v>
      </c>
      <c r="I43" t="s">
        <v>26</v>
      </c>
      <c r="J43">
        <v>234</v>
      </c>
      <c r="K43">
        <v>3416.22</v>
      </c>
      <c r="L43">
        <v>533.59</v>
      </c>
      <c r="M43">
        <v>0.15620000000000001</v>
      </c>
      <c r="N43">
        <v>9.57</v>
      </c>
      <c r="O43">
        <v>2.8000000000000004E-3</v>
      </c>
      <c r="P43">
        <v>1.62</v>
      </c>
      <c r="Q43">
        <v>0.499</v>
      </c>
      <c r="R43">
        <v>0</v>
      </c>
      <c r="S43">
        <v>72.010000000000005</v>
      </c>
      <c r="T43">
        <v>81.44</v>
      </c>
      <c r="U43">
        <v>72000</v>
      </c>
      <c r="V43">
        <v>6552000</v>
      </c>
    </row>
    <row r="44" spans="1:22" x14ac:dyDescent="0.25">
      <c r="A44" t="s">
        <v>53</v>
      </c>
      <c r="B44" t="s">
        <v>54</v>
      </c>
      <c r="C44" t="str">
        <f t="shared" si="0"/>
        <v>2022</v>
      </c>
      <c r="D44" t="str">
        <f t="shared" si="1"/>
        <v>04</v>
      </c>
      <c r="E44" t="s">
        <v>55</v>
      </c>
      <c r="F44" t="s">
        <v>90</v>
      </c>
      <c r="G44" t="s">
        <v>91</v>
      </c>
      <c r="H44" t="s">
        <v>25</v>
      </c>
      <c r="I44" t="s">
        <v>26</v>
      </c>
      <c r="J44">
        <v>234</v>
      </c>
      <c r="K44">
        <v>4920.8999999999996</v>
      </c>
      <c r="L44">
        <v>862.44</v>
      </c>
      <c r="M44">
        <v>0.17530000000000001</v>
      </c>
      <c r="N44">
        <v>230.54</v>
      </c>
      <c r="O44">
        <v>4.6799999999999994E-2</v>
      </c>
      <c r="P44">
        <v>2.41</v>
      </c>
      <c r="Q44">
        <v>0.27399999999999997</v>
      </c>
      <c r="R44">
        <v>109.31</v>
      </c>
      <c r="S44">
        <v>109.53</v>
      </c>
      <c r="T44">
        <v>131.63</v>
      </c>
      <c r="U44">
        <v>72000</v>
      </c>
      <c r="V44">
        <v>6552000</v>
      </c>
    </row>
    <row r="45" spans="1:22" x14ac:dyDescent="0.25">
      <c r="A45" t="s">
        <v>56</v>
      </c>
      <c r="B45" t="s">
        <v>57</v>
      </c>
      <c r="C45" t="str">
        <f t="shared" si="0"/>
        <v>2022</v>
      </c>
      <c r="D45" t="str">
        <f t="shared" si="1"/>
        <v>07</v>
      </c>
      <c r="E45" t="s">
        <v>55</v>
      </c>
      <c r="F45" t="s">
        <v>90</v>
      </c>
      <c r="G45" t="s">
        <v>91</v>
      </c>
      <c r="H45" t="s">
        <v>25</v>
      </c>
      <c r="I45" t="s">
        <v>26</v>
      </c>
      <c r="J45">
        <v>234</v>
      </c>
      <c r="K45">
        <v>4711.5</v>
      </c>
      <c r="L45">
        <v>619.1</v>
      </c>
      <c r="M45">
        <v>0.13140000000000002</v>
      </c>
      <c r="N45">
        <v>150.87</v>
      </c>
      <c r="O45">
        <v>3.2000000000000001E-2</v>
      </c>
      <c r="P45">
        <v>2.4500000000000002</v>
      </c>
      <c r="Q45">
        <v>0.51800000000000002</v>
      </c>
      <c r="R45">
        <v>16</v>
      </c>
      <c r="S45">
        <v>80.69</v>
      </c>
      <c r="T45">
        <v>94.49</v>
      </c>
      <c r="U45">
        <v>72000</v>
      </c>
      <c r="V45">
        <v>6552000</v>
      </c>
    </row>
    <row r="46" spans="1:22" x14ac:dyDescent="0.25">
      <c r="A46" t="s">
        <v>58</v>
      </c>
      <c r="B46" t="s">
        <v>59</v>
      </c>
      <c r="C46" t="str">
        <f t="shared" si="0"/>
        <v>2022</v>
      </c>
      <c r="D46" t="str">
        <f t="shared" si="1"/>
        <v>10</v>
      </c>
      <c r="E46" t="s">
        <v>55</v>
      </c>
      <c r="F46" t="s">
        <v>90</v>
      </c>
      <c r="G46" t="s">
        <v>91</v>
      </c>
      <c r="H46" t="s">
        <v>25</v>
      </c>
      <c r="I46" t="s">
        <v>26</v>
      </c>
      <c r="J46">
        <v>234</v>
      </c>
      <c r="K46">
        <v>4708.63</v>
      </c>
      <c r="L46">
        <v>691.63</v>
      </c>
      <c r="M46">
        <v>0.1469</v>
      </c>
      <c r="N46">
        <v>375.24</v>
      </c>
      <c r="O46">
        <v>7.9699999999999993E-2</v>
      </c>
      <c r="P46">
        <v>2.54</v>
      </c>
      <c r="Q46">
        <v>0.6</v>
      </c>
      <c r="R46">
        <v>71.739999999999995</v>
      </c>
      <c r="S46">
        <v>93.25</v>
      </c>
      <c r="T46">
        <v>105.56</v>
      </c>
      <c r="U46">
        <v>72000</v>
      </c>
      <c r="V46">
        <v>6552000</v>
      </c>
    </row>
    <row r="47" spans="1:22" x14ac:dyDescent="0.25">
      <c r="A47" t="s">
        <v>60</v>
      </c>
      <c r="B47" t="s">
        <v>61</v>
      </c>
      <c r="C47" t="str">
        <f t="shared" si="0"/>
        <v>2023</v>
      </c>
      <c r="D47" t="str">
        <f t="shared" si="1"/>
        <v>01</v>
      </c>
      <c r="E47" t="s">
        <v>62</v>
      </c>
      <c r="F47" t="s">
        <v>90</v>
      </c>
      <c r="G47" t="s">
        <v>91</v>
      </c>
      <c r="H47" t="s">
        <v>25</v>
      </c>
      <c r="I47" t="s">
        <v>26</v>
      </c>
      <c r="J47">
        <v>234</v>
      </c>
      <c r="K47">
        <v>4761.38</v>
      </c>
      <c r="L47">
        <v>636.4</v>
      </c>
      <c r="M47">
        <v>0.13369999999999999</v>
      </c>
      <c r="N47">
        <v>433.95</v>
      </c>
      <c r="O47">
        <v>9.11E-2</v>
      </c>
      <c r="P47">
        <v>2.35</v>
      </c>
      <c r="Q47">
        <v>0.30299999999999999</v>
      </c>
      <c r="R47">
        <v>15.28</v>
      </c>
      <c r="S47">
        <v>84.29</v>
      </c>
      <c r="T47">
        <v>97.13</v>
      </c>
      <c r="U47">
        <v>72000</v>
      </c>
      <c r="V47">
        <v>6552000</v>
      </c>
    </row>
    <row r="48" spans="1:22" x14ac:dyDescent="0.25">
      <c r="A48" t="s">
        <v>63</v>
      </c>
      <c r="B48" t="s">
        <v>64</v>
      </c>
      <c r="C48" t="str">
        <f t="shared" si="0"/>
        <v>2023</v>
      </c>
      <c r="D48" t="str">
        <f t="shared" si="1"/>
        <v>04</v>
      </c>
      <c r="E48" t="s">
        <v>62</v>
      </c>
      <c r="F48" t="s">
        <v>90</v>
      </c>
      <c r="G48" t="s">
        <v>91</v>
      </c>
      <c r="H48" t="s">
        <v>25</v>
      </c>
      <c r="I48" t="s">
        <v>26</v>
      </c>
      <c r="J48">
        <v>234</v>
      </c>
      <c r="K48">
        <v>4682.49</v>
      </c>
      <c r="L48">
        <v>668.11</v>
      </c>
      <c r="M48">
        <v>0.14269999999999999</v>
      </c>
      <c r="N48">
        <v>530.07000000000005</v>
      </c>
      <c r="O48">
        <v>0.11320000000000001</v>
      </c>
      <c r="P48">
        <v>2.52</v>
      </c>
      <c r="Q48">
        <v>2.8999999999999998E-2</v>
      </c>
      <c r="R48">
        <v>2.58</v>
      </c>
      <c r="S48">
        <v>88.18</v>
      </c>
      <c r="T48">
        <v>101.97</v>
      </c>
      <c r="U48">
        <v>72000</v>
      </c>
      <c r="V48">
        <v>6552000</v>
      </c>
    </row>
    <row r="49" spans="1:22" x14ac:dyDescent="0.25">
      <c r="A49" t="s">
        <v>65</v>
      </c>
      <c r="B49" t="s">
        <v>66</v>
      </c>
      <c r="C49" t="str">
        <f t="shared" si="0"/>
        <v>2023</v>
      </c>
      <c r="D49" t="str">
        <f t="shared" si="1"/>
        <v>07</v>
      </c>
      <c r="E49" t="s">
        <v>62</v>
      </c>
      <c r="F49" t="s">
        <v>90</v>
      </c>
      <c r="G49" t="s">
        <v>91</v>
      </c>
      <c r="H49" t="s">
        <v>25</v>
      </c>
      <c r="I49" t="s">
        <v>26</v>
      </c>
      <c r="J49">
        <v>234</v>
      </c>
      <c r="K49">
        <v>4532.1499999999996</v>
      </c>
      <c r="L49">
        <v>638.95000000000005</v>
      </c>
      <c r="M49">
        <v>0.14099999999999999</v>
      </c>
      <c r="N49">
        <v>276.56</v>
      </c>
      <c r="O49">
        <v>6.0999999999999999E-2</v>
      </c>
      <c r="P49">
        <v>2.37</v>
      </c>
      <c r="Q49">
        <v>0.27300000000000002</v>
      </c>
      <c r="R49">
        <v>14.57</v>
      </c>
      <c r="S49">
        <v>85.16</v>
      </c>
      <c r="T49">
        <v>97.52</v>
      </c>
      <c r="U49">
        <v>72000</v>
      </c>
      <c r="V49">
        <v>6552000</v>
      </c>
    </row>
    <row r="50" spans="1:22" x14ac:dyDescent="0.25">
      <c r="A50" t="s">
        <v>67</v>
      </c>
      <c r="B50" t="s">
        <v>68</v>
      </c>
      <c r="C50" t="str">
        <f t="shared" si="0"/>
        <v>2023</v>
      </c>
      <c r="D50" t="str">
        <f t="shared" si="1"/>
        <v>10</v>
      </c>
      <c r="E50" t="s">
        <v>69</v>
      </c>
      <c r="F50" t="s">
        <v>90</v>
      </c>
      <c r="G50" t="s">
        <v>91</v>
      </c>
      <c r="H50" t="s">
        <v>25</v>
      </c>
      <c r="I50" t="s">
        <v>26</v>
      </c>
      <c r="J50">
        <v>234</v>
      </c>
      <c r="K50">
        <v>4709.49</v>
      </c>
      <c r="L50">
        <v>589.41999999999996</v>
      </c>
      <c r="M50">
        <v>0.12520000000000001</v>
      </c>
      <c r="N50">
        <v>409.33</v>
      </c>
      <c r="O50">
        <v>8.6899999999999991E-2</v>
      </c>
      <c r="P50">
        <v>2.4700000000000002</v>
      </c>
      <c r="Q50">
        <v>0.32500000000000001</v>
      </c>
      <c r="R50">
        <v>0</v>
      </c>
      <c r="S50">
        <v>78.33</v>
      </c>
      <c r="T50">
        <v>89.96</v>
      </c>
      <c r="U50">
        <v>72000</v>
      </c>
      <c r="V50">
        <v>6552000</v>
      </c>
    </row>
    <row r="51" spans="1:22" x14ac:dyDescent="0.25">
      <c r="A51" t="s">
        <v>70</v>
      </c>
      <c r="B51" t="s">
        <v>71</v>
      </c>
      <c r="C51" t="str">
        <f t="shared" si="0"/>
        <v>2024</v>
      </c>
      <c r="D51" t="str">
        <f t="shared" si="1"/>
        <v>01</v>
      </c>
      <c r="E51" t="s">
        <v>69</v>
      </c>
      <c r="F51" t="s">
        <v>90</v>
      </c>
      <c r="G51" t="s">
        <v>91</v>
      </c>
      <c r="H51" t="s">
        <v>25</v>
      </c>
      <c r="I51" t="s">
        <v>26</v>
      </c>
      <c r="J51">
        <v>234</v>
      </c>
      <c r="K51">
        <v>4795.29</v>
      </c>
      <c r="L51">
        <v>648.78</v>
      </c>
      <c r="M51">
        <v>0.1353</v>
      </c>
      <c r="N51">
        <v>201.15</v>
      </c>
      <c r="O51">
        <v>4.1900000000000007E-2</v>
      </c>
      <c r="P51">
        <v>2.4300000000000002</v>
      </c>
      <c r="Q51">
        <v>0.157</v>
      </c>
      <c r="R51">
        <v>10.210000000000001</v>
      </c>
      <c r="S51">
        <v>84.61</v>
      </c>
      <c r="T51">
        <v>99.02</v>
      </c>
      <c r="U51">
        <v>72000</v>
      </c>
      <c r="V51">
        <v>6552000</v>
      </c>
    </row>
    <row r="52" spans="1:22" x14ac:dyDescent="0.25">
      <c r="A52" t="s">
        <v>72</v>
      </c>
      <c r="B52" t="s">
        <v>73</v>
      </c>
      <c r="C52" t="str">
        <f t="shared" si="0"/>
        <v>2024</v>
      </c>
      <c r="D52" t="str">
        <f t="shared" si="1"/>
        <v>04</v>
      </c>
      <c r="E52" t="s">
        <v>69</v>
      </c>
      <c r="F52" t="s">
        <v>90</v>
      </c>
      <c r="G52" t="s">
        <v>91</v>
      </c>
      <c r="H52" t="s">
        <v>25</v>
      </c>
      <c r="I52" t="s">
        <v>26</v>
      </c>
      <c r="J52">
        <v>234</v>
      </c>
      <c r="K52">
        <v>4914.95</v>
      </c>
      <c r="L52">
        <v>666.86</v>
      </c>
      <c r="M52">
        <v>0.13570000000000002</v>
      </c>
      <c r="N52">
        <v>565.98</v>
      </c>
      <c r="O52">
        <v>0.1152</v>
      </c>
      <c r="P52">
        <v>2.2200000000000002</v>
      </c>
      <c r="Q52">
        <v>6.7000000000000004E-2</v>
      </c>
      <c r="R52">
        <v>5.85</v>
      </c>
      <c r="S52">
        <v>84.06</v>
      </c>
      <c r="T52">
        <v>101.78</v>
      </c>
      <c r="U52">
        <v>72000</v>
      </c>
      <c r="V52">
        <v>6552000</v>
      </c>
    </row>
    <row r="53" spans="1:22" x14ac:dyDescent="0.25">
      <c r="A53" t="s">
        <v>74</v>
      </c>
      <c r="B53" t="s">
        <v>75</v>
      </c>
      <c r="C53" t="str">
        <f t="shared" si="0"/>
        <v>2024</v>
      </c>
      <c r="D53" t="str">
        <f t="shared" si="1"/>
        <v>07</v>
      </c>
      <c r="E53" t="s">
        <v>69</v>
      </c>
      <c r="F53" t="s">
        <v>90</v>
      </c>
      <c r="G53" t="s">
        <v>91</v>
      </c>
      <c r="H53" t="s">
        <v>25</v>
      </c>
      <c r="I53" t="s">
        <v>26</v>
      </c>
      <c r="J53">
        <v>234</v>
      </c>
      <c r="K53">
        <v>4569.92</v>
      </c>
      <c r="L53">
        <v>615.76</v>
      </c>
      <c r="M53">
        <v>0.13470000000000001</v>
      </c>
      <c r="N53">
        <v>240.27</v>
      </c>
      <c r="O53">
        <v>5.2600000000000001E-2</v>
      </c>
      <c r="P53">
        <v>2.35</v>
      </c>
      <c r="Q53">
        <v>0.6409999999999999</v>
      </c>
      <c r="R53">
        <v>17.45</v>
      </c>
      <c r="S53">
        <v>80.400000000000006</v>
      </c>
      <c r="T53">
        <v>93.98</v>
      </c>
      <c r="U53">
        <v>72000</v>
      </c>
      <c r="V53">
        <v>6552000</v>
      </c>
    </row>
    <row r="54" spans="1:22" x14ac:dyDescent="0.25">
      <c r="A54" t="s">
        <v>76</v>
      </c>
      <c r="B54" t="s">
        <v>77</v>
      </c>
      <c r="C54" t="str">
        <f t="shared" si="0"/>
        <v>2024</v>
      </c>
      <c r="D54" t="str">
        <f t="shared" si="1"/>
        <v>10</v>
      </c>
      <c r="E54" t="s">
        <v>69</v>
      </c>
      <c r="F54" t="s">
        <v>90</v>
      </c>
      <c r="G54" t="s">
        <v>91</v>
      </c>
      <c r="H54" t="s">
        <v>25</v>
      </c>
      <c r="I54" t="s">
        <v>26</v>
      </c>
      <c r="J54">
        <v>234</v>
      </c>
      <c r="K54">
        <v>4787.72</v>
      </c>
      <c r="L54">
        <v>737.23</v>
      </c>
      <c r="M54">
        <v>0.154</v>
      </c>
      <c r="N54">
        <v>310.75</v>
      </c>
      <c r="O54">
        <v>6.4899999999999999E-2</v>
      </c>
      <c r="P54">
        <v>2.38</v>
      </c>
      <c r="Q54">
        <v>0.52400000000000002</v>
      </c>
      <c r="R54">
        <v>96.66</v>
      </c>
      <c r="S54">
        <v>94.78</v>
      </c>
      <c r="T54">
        <v>112.52</v>
      </c>
      <c r="U54">
        <v>72000</v>
      </c>
      <c r="V54">
        <v>6552000</v>
      </c>
    </row>
    <row r="55" spans="1:22" x14ac:dyDescent="0.25">
      <c r="A55" t="s">
        <v>78</v>
      </c>
      <c r="B55" t="s">
        <v>79</v>
      </c>
      <c r="C55" t="str">
        <f t="shared" si="0"/>
        <v>2025</v>
      </c>
      <c r="D55" t="str">
        <f t="shared" si="1"/>
        <v>01</v>
      </c>
      <c r="E55" t="s">
        <v>80</v>
      </c>
      <c r="F55" t="s">
        <v>90</v>
      </c>
      <c r="G55" t="s">
        <v>91</v>
      </c>
      <c r="H55" t="s">
        <v>25</v>
      </c>
      <c r="I55" t="s">
        <v>26</v>
      </c>
      <c r="J55">
        <v>234</v>
      </c>
      <c r="K55">
        <v>4972.28</v>
      </c>
      <c r="L55">
        <v>665.29</v>
      </c>
      <c r="M55">
        <v>0.1338</v>
      </c>
      <c r="N55">
        <v>201.41</v>
      </c>
      <c r="O55">
        <v>4.0500000000000001E-2</v>
      </c>
      <c r="P55">
        <v>2.4500000000000002</v>
      </c>
      <c r="Q55">
        <v>0.29499999999999998</v>
      </c>
      <c r="R55">
        <v>25.16</v>
      </c>
      <c r="S55">
        <v>85.13</v>
      </c>
      <c r="T55">
        <v>101.54</v>
      </c>
      <c r="U55">
        <v>72000</v>
      </c>
      <c r="V55">
        <v>6552000</v>
      </c>
    </row>
    <row r="56" spans="1:22" x14ac:dyDescent="0.25">
      <c r="A56" t="s">
        <v>81</v>
      </c>
      <c r="B56" t="s">
        <v>82</v>
      </c>
      <c r="C56" t="str">
        <f t="shared" si="0"/>
        <v>2025</v>
      </c>
      <c r="D56" t="str">
        <f t="shared" si="1"/>
        <v>04</v>
      </c>
      <c r="E56" t="s">
        <v>80</v>
      </c>
      <c r="F56" t="s">
        <v>90</v>
      </c>
      <c r="G56" t="s">
        <v>91</v>
      </c>
      <c r="H56" t="s">
        <v>25</v>
      </c>
      <c r="I56" t="s">
        <v>26</v>
      </c>
      <c r="J56">
        <v>234</v>
      </c>
      <c r="K56">
        <v>4642.96</v>
      </c>
      <c r="L56">
        <v>789.06</v>
      </c>
      <c r="M56">
        <v>0.1699</v>
      </c>
      <c r="N56">
        <v>419.65</v>
      </c>
      <c r="O56">
        <v>9.0399999999999994E-2</v>
      </c>
      <c r="P56">
        <v>2.23</v>
      </c>
      <c r="Q56">
        <v>0.22399999999999998</v>
      </c>
      <c r="R56">
        <v>59.76</v>
      </c>
      <c r="S56">
        <v>101.77</v>
      </c>
      <c r="T56">
        <v>120.43</v>
      </c>
      <c r="U56">
        <v>72000</v>
      </c>
      <c r="V56">
        <v>6552000</v>
      </c>
    </row>
    <row r="57" spans="1:22" x14ac:dyDescent="0.25">
      <c r="A57" t="s">
        <v>83</v>
      </c>
      <c r="B57" t="s">
        <v>84</v>
      </c>
      <c r="C57" t="str">
        <f t="shared" si="0"/>
        <v>2025</v>
      </c>
      <c r="D57" t="str">
        <f t="shared" si="1"/>
        <v>07</v>
      </c>
      <c r="E57" t="s">
        <v>80</v>
      </c>
      <c r="F57" t="s">
        <v>90</v>
      </c>
      <c r="G57" t="s">
        <v>91</v>
      </c>
      <c r="H57" t="s">
        <v>25</v>
      </c>
      <c r="I57" t="s">
        <v>26</v>
      </c>
      <c r="J57">
        <v>234</v>
      </c>
      <c r="K57">
        <v>4462.78</v>
      </c>
      <c r="L57">
        <v>735.27</v>
      </c>
      <c r="M57">
        <v>0.1648</v>
      </c>
      <c r="N57">
        <v>401.58</v>
      </c>
      <c r="O57">
        <v>0.09</v>
      </c>
      <c r="P57">
        <v>2.33</v>
      </c>
      <c r="Q57">
        <v>6.8000000000000005E-2</v>
      </c>
      <c r="R57">
        <v>12.34</v>
      </c>
      <c r="S57">
        <v>93.24</v>
      </c>
      <c r="T57">
        <v>112.22</v>
      </c>
      <c r="U57">
        <v>72000</v>
      </c>
      <c r="V57">
        <v>6552000</v>
      </c>
    </row>
    <row r="58" spans="1:22" x14ac:dyDescent="0.25">
      <c r="A58" t="s">
        <v>85</v>
      </c>
      <c r="B58" t="s">
        <v>86</v>
      </c>
      <c r="C58" t="str">
        <f t="shared" si="0"/>
        <v>2025</v>
      </c>
      <c r="D58" t="str">
        <f t="shared" si="1"/>
        <v>10</v>
      </c>
      <c r="E58" t="s">
        <v>80</v>
      </c>
      <c r="F58" t="s">
        <v>90</v>
      </c>
      <c r="G58" t="s">
        <v>91</v>
      </c>
      <c r="H58" t="s">
        <v>25</v>
      </c>
      <c r="I58" t="s">
        <v>26</v>
      </c>
      <c r="J58">
        <v>234</v>
      </c>
      <c r="K58">
        <v>4837.7700000000004</v>
      </c>
      <c r="L58">
        <v>731.66</v>
      </c>
      <c r="M58">
        <v>0.1512</v>
      </c>
      <c r="N58">
        <v>323.05</v>
      </c>
      <c r="O58">
        <v>6.6799999999999998E-2</v>
      </c>
      <c r="P58">
        <v>2.3199999999999998</v>
      </c>
      <c r="Q58">
        <v>0.64200000000000002</v>
      </c>
      <c r="R58">
        <v>113.1</v>
      </c>
      <c r="S58">
        <v>99.34</v>
      </c>
      <c r="T58">
        <v>111.67</v>
      </c>
      <c r="U58">
        <v>72000</v>
      </c>
      <c r="V58">
        <v>6552000</v>
      </c>
    </row>
    <row r="59" spans="1:22" x14ac:dyDescent="0.25">
      <c r="A59" t="s">
        <v>87</v>
      </c>
      <c r="B59" t="s">
        <v>88</v>
      </c>
      <c r="C59" t="str">
        <f t="shared" si="0"/>
        <v>2026</v>
      </c>
      <c r="D59" t="str">
        <f t="shared" si="1"/>
        <v>01</v>
      </c>
      <c r="E59" t="s">
        <v>89</v>
      </c>
      <c r="F59" t="s">
        <v>90</v>
      </c>
      <c r="G59" t="s">
        <v>91</v>
      </c>
      <c r="H59" t="s">
        <v>25</v>
      </c>
      <c r="I59" t="s">
        <v>26</v>
      </c>
      <c r="J59">
        <v>234</v>
      </c>
      <c r="K59">
        <v>3093.21</v>
      </c>
      <c r="L59">
        <v>961.83</v>
      </c>
      <c r="M59">
        <v>0.31090000000000001</v>
      </c>
      <c r="N59">
        <v>-328.43</v>
      </c>
      <c r="O59">
        <v>-0.10619999999999999</v>
      </c>
      <c r="P59">
        <v>1.55</v>
      </c>
      <c r="Q59">
        <v>0.21</v>
      </c>
      <c r="R59">
        <v>127.48</v>
      </c>
      <c r="S59">
        <v>130.88</v>
      </c>
      <c r="T59">
        <v>146.80000000000001</v>
      </c>
      <c r="U59">
        <v>72000</v>
      </c>
      <c r="V59">
        <v>6552000</v>
      </c>
    </row>
    <row r="60" spans="1:22" x14ac:dyDescent="0.25">
      <c r="A60" t="s">
        <v>20</v>
      </c>
      <c r="B60" t="s">
        <v>21</v>
      </c>
      <c r="C60" t="str">
        <f t="shared" si="0"/>
        <v>2019</v>
      </c>
      <c r="D60" t="str">
        <f t="shared" si="1"/>
        <v>01</v>
      </c>
      <c r="E60" t="s">
        <v>22</v>
      </c>
      <c r="F60" t="s">
        <v>92</v>
      </c>
      <c r="G60" t="s">
        <v>24</v>
      </c>
      <c r="H60" t="s">
        <v>25</v>
      </c>
      <c r="I60" t="s">
        <v>26</v>
      </c>
      <c r="J60">
        <v>110</v>
      </c>
      <c r="K60">
        <v>2646.3</v>
      </c>
      <c r="L60">
        <v>257.89999999999998</v>
      </c>
      <c r="M60">
        <v>9.7500000000000003E-2</v>
      </c>
      <c r="N60">
        <v>226.86</v>
      </c>
      <c r="O60">
        <v>8.5699999999999998E-2</v>
      </c>
      <c r="P60">
        <v>1.18</v>
      </c>
      <c r="Q60">
        <v>0.371</v>
      </c>
      <c r="R60">
        <v>0</v>
      </c>
      <c r="S60">
        <v>63</v>
      </c>
      <c r="T60">
        <v>74.58</v>
      </c>
      <c r="U60">
        <v>38000</v>
      </c>
      <c r="V60">
        <v>3458000</v>
      </c>
    </row>
    <row r="61" spans="1:22" x14ac:dyDescent="0.25">
      <c r="A61" t="s">
        <v>27</v>
      </c>
      <c r="B61" t="s">
        <v>28</v>
      </c>
      <c r="C61" t="str">
        <f t="shared" si="0"/>
        <v>2019</v>
      </c>
      <c r="D61" t="str">
        <f t="shared" si="1"/>
        <v>04</v>
      </c>
      <c r="E61" t="s">
        <v>22</v>
      </c>
      <c r="F61" t="s">
        <v>92</v>
      </c>
      <c r="G61" t="s">
        <v>24</v>
      </c>
      <c r="H61" t="s">
        <v>25</v>
      </c>
      <c r="I61" t="s">
        <v>26</v>
      </c>
      <c r="J61">
        <v>110</v>
      </c>
      <c r="K61">
        <v>2678.16</v>
      </c>
      <c r="L61">
        <v>253.61</v>
      </c>
      <c r="M61">
        <v>9.4700000000000006E-2</v>
      </c>
      <c r="N61">
        <v>334.37</v>
      </c>
      <c r="O61">
        <v>0.1249</v>
      </c>
      <c r="P61">
        <v>1.19</v>
      </c>
      <c r="Q61">
        <v>0.26100000000000001</v>
      </c>
      <c r="R61">
        <v>0</v>
      </c>
      <c r="S61">
        <v>64.790000000000006</v>
      </c>
      <c r="T61">
        <v>73.34</v>
      </c>
      <c r="U61">
        <v>38000</v>
      </c>
      <c r="V61">
        <v>3458000</v>
      </c>
    </row>
    <row r="62" spans="1:22" x14ac:dyDescent="0.25">
      <c r="A62" t="s">
        <v>29</v>
      </c>
      <c r="B62" t="s">
        <v>30</v>
      </c>
      <c r="C62" t="str">
        <f t="shared" si="0"/>
        <v>2019</v>
      </c>
      <c r="D62" t="str">
        <f t="shared" si="1"/>
        <v>07</v>
      </c>
      <c r="E62" t="s">
        <v>22</v>
      </c>
      <c r="F62" t="s">
        <v>92</v>
      </c>
      <c r="G62" t="s">
        <v>24</v>
      </c>
      <c r="H62" t="s">
        <v>25</v>
      </c>
      <c r="I62" t="s">
        <v>26</v>
      </c>
      <c r="J62">
        <v>110</v>
      </c>
      <c r="K62">
        <v>2544.7399999999998</v>
      </c>
      <c r="L62">
        <v>245.9</v>
      </c>
      <c r="M62">
        <v>9.6600000000000005E-2</v>
      </c>
      <c r="N62">
        <v>322.95</v>
      </c>
      <c r="O62">
        <v>0.12689999999999999</v>
      </c>
      <c r="P62">
        <v>0.99</v>
      </c>
      <c r="Q62">
        <v>0.182</v>
      </c>
      <c r="R62">
        <v>0</v>
      </c>
      <c r="S62">
        <v>60.46</v>
      </c>
      <c r="T62">
        <v>71.11</v>
      </c>
      <c r="U62">
        <v>38000</v>
      </c>
      <c r="V62">
        <v>3458000</v>
      </c>
    </row>
    <row r="63" spans="1:22" x14ac:dyDescent="0.25">
      <c r="A63" t="s">
        <v>31</v>
      </c>
      <c r="B63" t="s">
        <v>32</v>
      </c>
      <c r="C63" t="str">
        <f t="shared" si="0"/>
        <v>2019</v>
      </c>
      <c r="D63" t="str">
        <f t="shared" si="1"/>
        <v>10</v>
      </c>
      <c r="E63" t="s">
        <v>22</v>
      </c>
      <c r="F63" t="s">
        <v>92</v>
      </c>
      <c r="G63" t="s">
        <v>24</v>
      </c>
      <c r="H63" t="s">
        <v>25</v>
      </c>
      <c r="I63" t="s">
        <v>26</v>
      </c>
      <c r="J63">
        <v>110</v>
      </c>
      <c r="K63">
        <v>2462.61</v>
      </c>
      <c r="L63">
        <v>266.16000000000003</v>
      </c>
      <c r="M63">
        <v>0.1081</v>
      </c>
      <c r="N63">
        <v>108.87</v>
      </c>
      <c r="O63">
        <v>4.4199999999999996E-2</v>
      </c>
      <c r="P63">
        <v>1.05</v>
      </c>
      <c r="Q63">
        <v>0.58599999999999997</v>
      </c>
      <c r="R63">
        <v>0</v>
      </c>
      <c r="S63">
        <v>65.66</v>
      </c>
      <c r="T63">
        <v>76.97</v>
      </c>
      <c r="U63">
        <v>38000</v>
      </c>
      <c r="V63">
        <v>3458000</v>
      </c>
    </row>
    <row r="64" spans="1:22" x14ac:dyDescent="0.25">
      <c r="A64" t="s">
        <v>33</v>
      </c>
      <c r="B64" t="s">
        <v>34</v>
      </c>
      <c r="C64" t="str">
        <f t="shared" si="0"/>
        <v>2020</v>
      </c>
      <c r="D64" t="str">
        <f t="shared" si="1"/>
        <v>01</v>
      </c>
      <c r="E64" t="s">
        <v>22</v>
      </c>
      <c r="F64" t="s">
        <v>92</v>
      </c>
      <c r="G64" t="s">
        <v>24</v>
      </c>
      <c r="H64" t="s">
        <v>25</v>
      </c>
      <c r="I64" t="s">
        <v>26</v>
      </c>
      <c r="J64">
        <v>110</v>
      </c>
      <c r="K64">
        <v>2465.4</v>
      </c>
      <c r="L64">
        <v>260.66000000000003</v>
      </c>
      <c r="M64">
        <v>0.1057</v>
      </c>
      <c r="N64">
        <v>294.79000000000002</v>
      </c>
      <c r="O64">
        <v>0.11960000000000001</v>
      </c>
      <c r="P64">
        <v>1.01</v>
      </c>
      <c r="Q64">
        <v>0.40200000000000002</v>
      </c>
      <c r="R64">
        <v>0</v>
      </c>
      <c r="S64">
        <v>66.66</v>
      </c>
      <c r="T64">
        <v>75.38</v>
      </c>
      <c r="U64">
        <v>38000</v>
      </c>
      <c r="V64">
        <v>3458000</v>
      </c>
    </row>
    <row r="65" spans="1:22" x14ac:dyDescent="0.25">
      <c r="A65" t="s">
        <v>35</v>
      </c>
      <c r="B65" t="s">
        <v>36</v>
      </c>
      <c r="C65" t="str">
        <f t="shared" si="0"/>
        <v>2020</v>
      </c>
      <c r="D65" t="str">
        <f t="shared" si="1"/>
        <v>04</v>
      </c>
      <c r="E65" t="s">
        <v>37</v>
      </c>
      <c r="F65" t="s">
        <v>92</v>
      </c>
      <c r="G65" t="s">
        <v>24</v>
      </c>
      <c r="H65" t="s">
        <v>25</v>
      </c>
      <c r="I65" t="s">
        <v>26</v>
      </c>
      <c r="J65">
        <v>110</v>
      </c>
      <c r="K65">
        <v>772.01</v>
      </c>
      <c r="L65">
        <v>81.92</v>
      </c>
      <c r="M65">
        <v>0.1061</v>
      </c>
      <c r="N65">
        <v>-210.36</v>
      </c>
      <c r="O65">
        <v>-0.27250000000000002</v>
      </c>
      <c r="P65">
        <v>0.3</v>
      </c>
      <c r="Q65">
        <v>7.4999999999999997E-2</v>
      </c>
      <c r="R65">
        <v>0</v>
      </c>
      <c r="S65">
        <v>20.57</v>
      </c>
      <c r="T65">
        <v>23.69</v>
      </c>
      <c r="U65">
        <v>38000</v>
      </c>
      <c r="V65">
        <v>3458000</v>
      </c>
    </row>
    <row r="66" spans="1:22" x14ac:dyDescent="0.25">
      <c r="A66" t="s">
        <v>38</v>
      </c>
      <c r="B66" t="s">
        <v>39</v>
      </c>
      <c r="C66" t="str">
        <f t="shared" si="0"/>
        <v>2020</v>
      </c>
      <c r="D66" t="str">
        <f t="shared" si="1"/>
        <v>07</v>
      </c>
      <c r="E66" t="s">
        <v>37</v>
      </c>
      <c r="F66" t="s">
        <v>92</v>
      </c>
      <c r="G66" t="s">
        <v>24</v>
      </c>
      <c r="H66" t="s">
        <v>25</v>
      </c>
      <c r="I66" t="s">
        <v>26</v>
      </c>
      <c r="J66">
        <v>110</v>
      </c>
      <c r="K66">
        <v>853.84</v>
      </c>
      <c r="L66">
        <v>174.39</v>
      </c>
      <c r="M66">
        <v>0.20420000000000002</v>
      </c>
      <c r="N66">
        <v>-367.26</v>
      </c>
      <c r="O66">
        <v>-0.43009999999999998</v>
      </c>
      <c r="P66">
        <v>0.34</v>
      </c>
      <c r="Q66">
        <v>0.28499999999999998</v>
      </c>
      <c r="R66">
        <v>0</v>
      </c>
      <c r="S66">
        <v>44.05</v>
      </c>
      <c r="T66">
        <v>50.43</v>
      </c>
      <c r="U66">
        <v>38000</v>
      </c>
      <c r="V66">
        <v>3458000</v>
      </c>
    </row>
    <row r="67" spans="1:22" x14ac:dyDescent="0.25">
      <c r="A67" t="s">
        <v>40</v>
      </c>
      <c r="B67" t="s">
        <v>41</v>
      </c>
      <c r="C67" t="str">
        <f t="shared" ref="C67:C130" si="2">LEFT(B67,4)</f>
        <v>2020</v>
      </c>
      <c r="D67" t="str">
        <f t="shared" ref="D67:D130" si="3">RIGHT(B67,2)</f>
        <v>10</v>
      </c>
      <c r="E67" t="s">
        <v>37</v>
      </c>
      <c r="F67" t="s">
        <v>92</v>
      </c>
      <c r="G67" t="s">
        <v>24</v>
      </c>
      <c r="H67" t="s">
        <v>25</v>
      </c>
      <c r="I67" t="s">
        <v>26</v>
      </c>
      <c r="J67">
        <v>110</v>
      </c>
      <c r="K67">
        <v>801.22</v>
      </c>
      <c r="L67">
        <v>157.88999999999999</v>
      </c>
      <c r="M67">
        <v>0.1971</v>
      </c>
      <c r="N67">
        <v>-239.84</v>
      </c>
      <c r="O67">
        <v>-0.29930000000000001</v>
      </c>
      <c r="P67">
        <v>0.34</v>
      </c>
      <c r="Q67">
        <v>0.45</v>
      </c>
      <c r="R67">
        <v>0</v>
      </c>
      <c r="S67">
        <v>39.950000000000003</v>
      </c>
      <c r="T67">
        <v>45.66</v>
      </c>
      <c r="U67">
        <v>38000</v>
      </c>
      <c r="V67">
        <v>3458000</v>
      </c>
    </row>
    <row r="68" spans="1:22" x14ac:dyDescent="0.25">
      <c r="A68" t="s">
        <v>42</v>
      </c>
      <c r="B68" t="s">
        <v>43</v>
      </c>
      <c r="C68" t="str">
        <f t="shared" si="2"/>
        <v>2021</v>
      </c>
      <c r="D68" t="str">
        <f t="shared" si="3"/>
        <v>01</v>
      </c>
      <c r="E68" t="s">
        <v>37</v>
      </c>
      <c r="F68" t="s">
        <v>92</v>
      </c>
      <c r="G68" t="s">
        <v>24</v>
      </c>
      <c r="H68" t="s">
        <v>25</v>
      </c>
      <c r="I68" t="s">
        <v>26</v>
      </c>
      <c r="J68">
        <v>110</v>
      </c>
      <c r="K68">
        <v>791.6</v>
      </c>
      <c r="L68">
        <v>296.58999999999997</v>
      </c>
      <c r="M68">
        <v>0.37469999999999998</v>
      </c>
      <c r="N68">
        <v>-310.2</v>
      </c>
      <c r="O68">
        <v>-0.39189999999999997</v>
      </c>
      <c r="P68">
        <v>0.3</v>
      </c>
      <c r="Q68">
        <v>8.3000000000000004E-2</v>
      </c>
      <c r="R68">
        <v>0</v>
      </c>
      <c r="S68">
        <v>75.489999999999995</v>
      </c>
      <c r="T68">
        <v>85.77</v>
      </c>
      <c r="U68">
        <v>38000</v>
      </c>
      <c r="V68">
        <v>3458000</v>
      </c>
    </row>
    <row r="69" spans="1:22" x14ac:dyDescent="0.25">
      <c r="A69" t="s">
        <v>44</v>
      </c>
      <c r="B69" t="s">
        <v>45</v>
      </c>
      <c r="C69" t="str">
        <f t="shared" si="2"/>
        <v>2021</v>
      </c>
      <c r="D69" t="str">
        <f t="shared" si="3"/>
        <v>04</v>
      </c>
      <c r="E69" t="s">
        <v>37</v>
      </c>
      <c r="F69" t="s">
        <v>92</v>
      </c>
      <c r="G69" t="s">
        <v>24</v>
      </c>
      <c r="H69" t="s">
        <v>25</v>
      </c>
      <c r="I69" t="s">
        <v>26</v>
      </c>
      <c r="J69">
        <v>110</v>
      </c>
      <c r="K69">
        <v>466.73</v>
      </c>
      <c r="L69">
        <v>314.39999999999998</v>
      </c>
      <c r="M69">
        <v>0.67359999999999998</v>
      </c>
      <c r="N69">
        <v>-205.36</v>
      </c>
      <c r="O69">
        <v>-0.44</v>
      </c>
      <c r="P69">
        <v>0.2</v>
      </c>
      <c r="Q69">
        <v>0.57499999999999996</v>
      </c>
      <c r="R69">
        <v>1.85</v>
      </c>
      <c r="S69">
        <v>76.83</v>
      </c>
      <c r="T69">
        <v>90.92</v>
      </c>
      <c r="U69">
        <v>38000</v>
      </c>
      <c r="V69">
        <v>3458000</v>
      </c>
    </row>
    <row r="70" spans="1:22" x14ac:dyDescent="0.25">
      <c r="A70" t="s">
        <v>46</v>
      </c>
      <c r="B70" t="s">
        <v>47</v>
      </c>
      <c r="C70" t="str">
        <f t="shared" si="2"/>
        <v>2021</v>
      </c>
      <c r="D70" t="str">
        <f t="shared" si="3"/>
        <v>07</v>
      </c>
      <c r="E70" t="s">
        <v>48</v>
      </c>
      <c r="F70" t="s">
        <v>92</v>
      </c>
      <c r="G70" t="s">
        <v>24</v>
      </c>
      <c r="H70" t="s">
        <v>25</v>
      </c>
      <c r="I70" t="s">
        <v>26</v>
      </c>
      <c r="J70">
        <v>110</v>
      </c>
      <c r="K70">
        <v>2019.93</v>
      </c>
      <c r="L70">
        <v>310.94</v>
      </c>
      <c r="M70">
        <v>0.15390000000000001</v>
      </c>
      <c r="N70">
        <v>-51.47</v>
      </c>
      <c r="O70">
        <v>-2.5499999999999998E-2</v>
      </c>
      <c r="P70">
        <v>0.86</v>
      </c>
      <c r="Q70">
        <v>0.33799999999999997</v>
      </c>
      <c r="R70">
        <v>0</v>
      </c>
      <c r="S70">
        <v>78.97</v>
      </c>
      <c r="T70">
        <v>89.92</v>
      </c>
      <c r="U70">
        <v>38000</v>
      </c>
      <c r="V70">
        <v>3458000</v>
      </c>
    </row>
    <row r="71" spans="1:22" x14ac:dyDescent="0.25">
      <c r="A71" t="s">
        <v>49</v>
      </c>
      <c r="B71" t="s">
        <v>50</v>
      </c>
      <c r="C71" t="str">
        <f t="shared" si="2"/>
        <v>2021</v>
      </c>
      <c r="D71" t="str">
        <f t="shared" si="3"/>
        <v>10</v>
      </c>
      <c r="E71" t="s">
        <v>48</v>
      </c>
      <c r="F71" t="s">
        <v>92</v>
      </c>
      <c r="G71" t="s">
        <v>24</v>
      </c>
      <c r="H71" t="s">
        <v>25</v>
      </c>
      <c r="I71" t="s">
        <v>26</v>
      </c>
      <c r="J71">
        <v>110</v>
      </c>
      <c r="K71">
        <v>2075.6799999999998</v>
      </c>
      <c r="L71">
        <v>360.5</v>
      </c>
      <c r="M71">
        <v>0.17370000000000002</v>
      </c>
      <c r="N71">
        <v>150.47999999999999</v>
      </c>
      <c r="O71">
        <v>7.2499999999999995E-2</v>
      </c>
      <c r="P71">
        <v>0.91</v>
      </c>
      <c r="Q71">
        <v>0.33299999999999996</v>
      </c>
      <c r="R71">
        <v>19.010000000000002</v>
      </c>
      <c r="S71">
        <v>86.82</v>
      </c>
      <c r="T71">
        <v>104.25</v>
      </c>
      <c r="U71">
        <v>38000</v>
      </c>
      <c r="V71">
        <v>3458000</v>
      </c>
    </row>
    <row r="72" spans="1:22" x14ac:dyDescent="0.25">
      <c r="A72" t="s">
        <v>51</v>
      </c>
      <c r="B72" t="s">
        <v>52</v>
      </c>
      <c r="C72" t="str">
        <f t="shared" si="2"/>
        <v>2022</v>
      </c>
      <c r="D72" t="str">
        <f t="shared" si="3"/>
        <v>01</v>
      </c>
      <c r="E72" t="s">
        <v>48</v>
      </c>
      <c r="F72" t="s">
        <v>92</v>
      </c>
      <c r="G72" t="s">
        <v>24</v>
      </c>
      <c r="H72" t="s">
        <v>25</v>
      </c>
      <c r="I72" t="s">
        <v>26</v>
      </c>
      <c r="J72">
        <v>110</v>
      </c>
      <c r="K72">
        <v>1918.13</v>
      </c>
      <c r="L72">
        <v>281.62</v>
      </c>
      <c r="M72">
        <v>0.14679999999999999</v>
      </c>
      <c r="N72">
        <v>105.52</v>
      </c>
      <c r="O72">
        <v>5.5E-2</v>
      </c>
      <c r="P72">
        <v>0.74</v>
      </c>
      <c r="Q72">
        <v>0.1</v>
      </c>
      <c r="R72">
        <v>0</v>
      </c>
      <c r="S72">
        <v>72.010000000000005</v>
      </c>
      <c r="T72">
        <v>81.44</v>
      </c>
      <c r="U72">
        <v>38000</v>
      </c>
      <c r="V72">
        <v>3458000</v>
      </c>
    </row>
    <row r="73" spans="1:22" x14ac:dyDescent="0.25">
      <c r="A73" t="s">
        <v>53</v>
      </c>
      <c r="B73" t="s">
        <v>54</v>
      </c>
      <c r="C73" t="str">
        <f t="shared" si="2"/>
        <v>2022</v>
      </c>
      <c r="D73" t="str">
        <f t="shared" si="3"/>
        <v>04</v>
      </c>
      <c r="E73" t="s">
        <v>55</v>
      </c>
      <c r="F73" t="s">
        <v>92</v>
      </c>
      <c r="G73" t="s">
        <v>24</v>
      </c>
      <c r="H73" t="s">
        <v>25</v>
      </c>
      <c r="I73" t="s">
        <v>26</v>
      </c>
      <c r="J73">
        <v>110</v>
      </c>
      <c r="K73">
        <v>2470.19</v>
      </c>
      <c r="L73">
        <v>455.18</v>
      </c>
      <c r="M73">
        <v>0.18429999999999999</v>
      </c>
      <c r="N73">
        <v>197.05</v>
      </c>
      <c r="O73">
        <v>7.980000000000001E-2</v>
      </c>
      <c r="P73">
        <v>0.94</v>
      </c>
      <c r="Q73">
        <v>0.22399999999999998</v>
      </c>
      <c r="R73">
        <v>47.16</v>
      </c>
      <c r="S73">
        <v>109.53</v>
      </c>
      <c r="T73">
        <v>131.63</v>
      </c>
      <c r="U73">
        <v>38000</v>
      </c>
      <c r="V73">
        <v>3458000</v>
      </c>
    </row>
    <row r="74" spans="1:22" x14ac:dyDescent="0.25">
      <c r="A74" t="s">
        <v>56</v>
      </c>
      <c r="B74" t="s">
        <v>57</v>
      </c>
      <c r="C74" t="str">
        <f t="shared" si="2"/>
        <v>2022</v>
      </c>
      <c r="D74" t="str">
        <f t="shared" si="3"/>
        <v>07</v>
      </c>
      <c r="E74" t="s">
        <v>55</v>
      </c>
      <c r="F74" t="s">
        <v>92</v>
      </c>
      <c r="G74" t="s">
        <v>24</v>
      </c>
      <c r="H74" t="s">
        <v>25</v>
      </c>
      <c r="I74" t="s">
        <v>26</v>
      </c>
      <c r="J74">
        <v>110</v>
      </c>
      <c r="K74">
        <v>2457.46</v>
      </c>
      <c r="L74">
        <v>326.75</v>
      </c>
      <c r="M74">
        <v>0.13300000000000001</v>
      </c>
      <c r="N74">
        <v>144.63999999999999</v>
      </c>
      <c r="O74">
        <v>5.8899999999999994E-2</v>
      </c>
      <c r="P74">
        <v>1.02</v>
      </c>
      <c r="Q74">
        <v>0.46399999999999997</v>
      </c>
      <c r="R74">
        <v>7.56</v>
      </c>
      <c r="S74">
        <v>80.69</v>
      </c>
      <c r="T74">
        <v>94.49</v>
      </c>
      <c r="U74">
        <v>38000</v>
      </c>
      <c r="V74">
        <v>3458000</v>
      </c>
    </row>
    <row r="75" spans="1:22" x14ac:dyDescent="0.25">
      <c r="A75" t="s">
        <v>58</v>
      </c>
      <c r="B75" t="s">
        <v>59</v>
      </c>
      <c r="C75" t="str">
        <f t="shared" si="2"/>
        <v>2022</v>
      </c>
      <c r="D75" t="str">
        <f t="shared" si="3"/>
        <v>10</v>
      </c>
      <c r="E75" t="s">
        <v>55</v>
      </c>
      <c r="F75" t="s">
        <v>92</v>
      </c>
      <c r="G75" t="s">
        <v>24</v>
      </c>
      <c r="H75" t="s">
        <v>25</v>
      </c>
      <c r="I75" t="s">
        <v>26</v>
      </c>
      <c r="J75">
        <v>110</v>
      </c>
      <c r="K75">
        <v>2614.04</v>
      </c>
      <c r="L75">
        <v>365.03</v>
      </c>
      <c r="M75">
        <v>0.1396</v>
      </c>
      <c r="N75">
        <v>241.07</v>
      </c>
      <c r="O75">
        <v>9.2200000000000004E-2</v>
      </c>
      <c r="P75">
        <v>1.02</v>
      </c>
      <c r="Q75">
        <v>0.28100000000000003</v>
      </c>
      <c r="R75">
        <v>17.73</v>
      </c>
      <c r="S75">
        <v>93.25</v>
      </c>
      <c r="T75">
        <v>105.56</v>
      </c>
      <c r="U75">
        <v>38000</v>
      </c>
      <c r="V75">
        <v>3458000</v>
      </c>
    </row>
    <row r="76" spans="1:22" x14ac:dyDescent="0.25">
      <c r="A76" t="s">
        <v>60</v>
      </c>
      <c r="B76" t="s">
        <v>61</v>
      </c>
      <c r="C76" t="str">
        <f t="shared" si="2"/>
        <v>2023</v>
      </c>
      <c r="D76" t="str">
        <f t="shared" si="3"/>
        <v>01</v>
      </c>
      <c r="E76" t="s">
        <v>62</v>
      </c>
      <c r="F76" t="s">
        <v>92</v>
      </c>
      <c r="G76" t="s">
        <v>24</v>
      </c>
      <c r="H76" t="s">
        <v>25</v>
      </c>
      <c r="I76" t="s">
        <v>26</v>
      </c>
      <c r="J76">
        <v>110</v>
      </c>
      <c r="K76">
        <v>2555.13</v>
      </c>
      <c r="L76">
        <v>335.88</v>
      </c>
      <c r="M76">
        <v>0.13150000000000001</v>
      </c>
      <c r="N76">
        <v>130.96</v>
      </c>
      <c r="O76">
        <v>5.1299999999999998E-2</v>
      </c>
      <c r="P76">
        <v>1</v>
      </c>
      <c r="Q76">
        <v>0.21899999999999997</v>
      </c>
      <c r="R76">
        <v>5.83</v>
      </c>
      <c r="S76">
        <v>84.29</v>
      </c>
      <c r="T76">
        <v>97.13</v>
      </c>
      <c r="U76">
        <v>38000</v>
      </c>
      <c r="V76">
        <v>3458000</v>
      </c>
    </row>
    <row r="77" spans="1:22" x14ac:dyDescent="0.25">
      <c r="A77" t="s">
        <v>63</v>
      </c>
      <c r="B77" t="s">
        <v>64</v>
      </c>
      <c r="C77" t="str">
        <f t="shared" si="2"/>
        <v>2023</v>
      </c>
      <c r="D77" t="str">
        <f t="shared" si="3"/>
        <v>04</v>
      </c>
      <c r="E77" t="s">
        <v>62</v>
      </c>
      <c r="F77" t="s">
        <v>92</v>
      </c>
      <c r="G77" t="s">
        <v>24</v>
      </c>
      <c r="H77" t="s">
        <v>25</v>
      </c>
      <c r="I77" t="s">
        <v>26</v>
      </c>
      <c r="J77">
        <v>110</v>
      </c>
      <c r="K77">
        <v>2666.09</v>
      </c>
      <c r="L77">
        <v>352.61</v>
      </c>
      <c r="M77">
        <v>0.1323</v>
      </c>
      <c r="N77">
        <v>146.68</v>
      </c>
      <c r="O77">
        <v>5.5E-2</v>
      </c>
      <c r="P77">
        <v>1.06</v>
      </c>
      <c r="Q77">
        <v>0.44</v>
      </c>
      <c r="R77">
        <v>20.63</v>
      </c>
      <c r="S77">
        <v>88.18</v>
      </c>
      <c r="T77">
        <v>101.97</v>
      </c>
      <c r="U77">
        <v>38000</v>
      </c>
      <c r="V77">
        <v>3458000</v>
      </c>
    </row>
    <row r="78" spans="1:22" x14ac:dyDescent="0.25">
      <c r="A78" t="s">
        <v>65</v>
      </c>
      <c r="B78" t="s">
        <v>66</v>
      </c>
      <c r="C78" t="str">
        <f t="shared" si="2"/>
        <v>2023</v>
      </c>
      <c r="D78" t="str">
        <f t="shared" si="3"/>
        <v>07</v>
      </c>
      <c r="E78" t="s">
        <v>62</v>
      </c>
      <c r="F78" t="s">
        <v>92</v>
      </c>
      <c r="G78" t="s">
        <v>24</v>
      </c>
      <c r="H78" t="s">
        <v>25</v>
      </c>
      <c r="I78" t="s">
        <v>26</v>
      </c>
      <c r="J78">
        <v>110</v>
      </c>
      <c r="K78">
        <v>2620.29</v>
      </c>
      <c r="L78">
        <v>337.22</v>
      </c>
      <c r="M78">
        <v>0.12869999999999998</v>
      </c>
      <c r="N78">
        <v>132.16999999999999</v>
      </c>
      <c r="O78">
        <v>5.04E-2</v>
      </c>
      <c r="P78">
        <v>1.19</v>
      </c>
      <c r="Q78">
        <v>9.6000000000000002E-2</v>
      </c>
      <c r="R78">
        <v>2.7</v>
      </c>
      <c r="S78">
        <v>85.16</v>
      </c>
      <c r="T78">
        <v>97.52</v>
      </c>
      <c r="U78">
        <v>38000</v>
      </c>
      <c r="V78">
        <v>3458000</v>
      </c>
    </row>
    <row r="79" spans="1:22" x14ac:dyDescent="0.25">
      <c r="A79" t="s">
        <v>67</v>
      </c>
      <c r="B79" t="s">
        <v>68</v>
      </c>
      <c r="C79" t="str">
        <f t="shared" si="2"/>
        <v>2023</v>
      </c>
      <c r="D79" t="str">
        <f t="shared" si="3"/>
        <v>10</v>
      </c>
      <c r="E79" t="s">
        <v>69</v>
      </c>
      <c r="F79" t="s">
        <v>92</v>
      </c>
      <c r="G79" t="s">
        <v>24</v>
      </c>
      <c r="H79" t="s">
        <v>25</v>
      </c>
      <c r="I79" t="s">
        <v>26</v>
      </c>
      <c r="J79">
        <v>110</v>
      </c>
      <c r="K79">
        <v>2442.86</v>
      </c>
      <c r="L79">
        <v>311.08</v>
      </c>
      <c r="M79">
        <v>0.1273</v>
      </c>
      <c r="N79">
        <v>172.04</v>
      </c>
      <c r="O79">
        <v>7.0400000000000004E-2</v>
      </c>
      <c r="P79">
        <v>0.93</v>
      </c>
      <c r="Q79">
        <v>0.02</v>
      </c>
      <c r="R79">
        <v>0</v>
      </c>
      <c r="S79">
        <v>78.33</v>
      </c>
      <c r="T79">
        <v>89.96</v>
      </c>
      <c r="U79">
        <v>38000</v>
      </c>
      <c r="V79">
        <v>3458000</v>
      </c>
    </row>
    <row r="80" spans="1:22" x14ac:dyDescent="0.25">
      <c r="A80" t="s">
        <v>70</v>
      </c>
      <c r="B80" t="s">
        <v>71</v>
      </c>
      <c r="C80" t="str">
        <f t="shared" si="2"/>
        <v>2024</v>
      </c>
      <c r="D80" t="str">
        <f t="shared" si="3"/>
        <v>01</v>
      </c>
      <c r="E80" t="s">
        <v>69</v>
      </c>
      <c r="F80" t="s">
        <v>92</v>
      </c>
      <c r="G80" t="s">
        <v>24</v>
      </c>
      <c r="H80" t="s">
        <v>25</v>
      </c>
      <c r="I80" t="s">
        <v>26</v>
      </c>
      <c r="J80">
        <v>110</v>
      </c>
      <c r="K80">
        <v>2614.35</v>
      </c>
      <c r="L80">
        <v>342.41</v>
      </c>
      <c r="M80">
        <v>0.13100000000000001</v>
      </c>
      <c r="N80">
        <v>338.02</v>
      </c>
      <c r="O80">
        <v>0.1293</v>
      </c>
      <c r="P80">
        <v>1.07</v>
      </c>
      <c r="Q80">
        <v>0.19600000000000001</v>
      </c>
      <c r="R80">
        <v>6.73</v>
      </c>
      <c r="S80">
        <v>84.61</v>
      </c>
      <c r="T80">
        <v>99.02</v>
      </c>
      <c r="U80">
        <v>38000</v>
      </c>
      <c r="V80">
        <v>3458000</v>
      </c>
    </row>
    <row r="81" spans="1:22" x14ac:dyDescent="0.25">
      <c r="A81" t="s">
        <v>72</v>
      </c>
      <c r="B81" t="s">
        <v>73</v>
      </c>
      <c r="C81" t="str">
        <f t="shared" si="2"/>
        <v>2024</v>
      </c>
      <c r="D81" t="str">
        <f t="shared" si="3"/>
        <v>04</v>
      </c>
      <c r="E81" t="s">
        <v>69</v>
      </c>
      <c r="F81" t="s">
        <v>92</v>
      </c>
      <c r="G81" t="s">
        <v>24</v>
      </c>
      <c r="H81" t="s">
        <v>25</v>
      </c>
      <c r="I81" t="s">
        <v>26</v>
      </c>
      <c r="J81">
        <v>110</v>
      </c>
      <c r="K81">
        <v>2725.7</v>
      </c>
      <c r="L81">
        <v>351.96</v>
      </c>
      <c r="M81">
        <v>0.12909999999999999</v>
      </c>
      <c r="N81">
        <v>125.78</v>
      </c>
      <c r="O81">
        <v>4.6100000000000002E-2</v>
      </c>
      <c r="P81">
        <v>1.1299999999999999</v>
      </c>
      <c r="Q81">
        <v>0.16399999999999998</v>
      </c>
      <c r="R81">
        <v>7.55</v>
      </c>
      <c r="S81">
        <v>84.06</v>
      </c>
      <c r="T81">
        <v>101.78</v>
      </c>
      <c r="U81">
        <v>38000</v>
      </c>
      <c r="V81">
        <v>3458000</v>
      </c>
    </row>
    <row r="82" spans="1:22" x14ac:dyDescent="0.25">
      <c r="A82" t="s">
        <v>74</v>
      </c>
      <c r="B82" t="s">
        <v>75</v>
      </c>
      <c r="C82" t="str">
        <f t="shared" si="2"/>
        <v>2024</v>
      </c>
      <c r="D82" t="str">
        <f t="shared" si="3"/>
        <v>07</v>
      </c>
      <c r="E82" t="s">
        <v>69</v>
      </c>
      <c r="F82" t="s">
        <v>92</v>
      </c>
      <c r="G82" t="s">
        <v>24</v>
      </c>
      <c r="H82" t="s">
        <v>25</v>
      </c>
      <c r="I82" t="s">
        <v>26</v>
      </c>
      <c r="J82">
        <v>110</v>
      </c>
      <c r="K82">
        <v>2549.04</v>
      </c>
      <c r="L82">
        <v>324.98</v>
      </c>
      <c r="M82">
        <v>0.1275</v>
      </c>
      <c r="N82">
        <v>206.67</v>
      </c>
      <c r="O82">
        <v>8.1099999999999992E-2</v>
      </c>
      <c r="P82">
        <v>1.08</v>
      </c>
      <c r="Q82">
        <v>0.29499999999999998</v>
      </c>
      <c r="R82">
        <v>4.24</v>
      </c>
      <c r="S82">
        <v>80.400000000000006</v>
      </c>
      <c r="T82">
        <v>93.98</v>
      </c>
      <c r="U82">
        <v>38000</v>
      </c>
      <c r="V82">
        <v>3458000</v>
      </c>
    </row>
    <row r="83" spans="1:22" x14ac:dyDescent="0.25">
      <c r="A83" t="s">
        <v>76</v>
      </c>
      <c r="B83" t="s">
        <v>77</v>
      </c>
      <c r="C83" t="str">
        <f t="shared" si="2"/>
        <v>2024</v>
      </c>
      <c r="D83" t="str">
        <f t="shared" si="3"/>
        <v>10</v>
      </c>
      <c r="E83" t="s">
        <v>69</v>
      </c>
      <c r="F83" t="s">
        <v>92</v>
      </c>
      <c r="G83" t="s">
        <v>24</v>
      </c>
      <c r="H83" t="s">
        <v>25</v>
      </c>
      <c r="I83" t="s">
        <v>26</v>
      </c>
      <c r="J83">
        <v>110</v>
      </c>
      <c r="K83">
        <v>2750.04</v>
      </c>
      <c r="L83">
        <v>389.09</v>
      </c>
      <c r="M83">
        <v>0.14150000000000001</v>
      </c>
      <c r="N83">
        <v>117.02</v>
      </c>
      <c r="O83">
        <v>4.2599999999999999E-2</v>
      </c>
      <c r="P83">
        <v>1.21</v>
      </c>
      <c r="Q83">
        <v>3.3000000000000002E-2</v>
      </c>
      <c r="R83">
        <v>3.21</v>
      </c>
      <c r="S83">
        <v>94.78</v>
      </c>
      <c r="T83">
        <v>112.52</v>
      </c>
      <c r="U83">
        <v>38000</v>
      </c>
      <c r="V83">
        <v>3458000</v>
      </c>
    </row>
    <row r="84" spans="1:22" x14ac:dyDescent="0.25">
      <c r="A84" t="s">
        <v>78</v>
      </c>
      <c r="B84" t="s">
        <v>79</v>
      </c>
      <c r="C84" t="str">
        <f t="shared" si="2"/>
        <v>2025</v>
      </c>
      <c r="D84" t="str">
        <f t="shared" si="3"/>
        <v>01</v>
      </c>
      <c r="E84" t="s">
        <v>80</v>
      </c>
      <c r="F84" t="s">
        <v>92</v>
      </c>
      <c r="G84" t="s">
        <v>24</v>
      </c>
      <c r="H84" t="s">
        <v>25</v>
      </c>
      <c r="I84" t="s">
        <v>26</v>
      </c>
      <c r="J84">
        <v>110</v>
      </c>
      <c r="K84">
        <v>2565.4</v>
      </c>
      <c r="L84">
        <v>351.13</v>
      </c>
      <c r="M84">
        <v>0.13689999999999999</v>
      </c>
      <c r="N84">
        <v>154.4</v>
      </c>
      <c r="O84">
        <v>6.0199999999999997E-2</v>
      </c>
      <c r="P84">
        <v>1.17</v>
      </c>
      <c r="Q84">
        <v>0.47</v>
      </c>
      <c r="R84">
        <v>21.16</v>
      </c>
      <c r="S84">
        <v>85.13</v>
      </c>
      <c r="T84">
        <v>101.54</v>
      </c>
      <c r="U84">
        <v>38000</v>
      </c>
      <c r="V84">
        <v>3458000</v>
      </c>
    </row>
    <row r="85" spans="1:22" x14ac:dyDescent="0.25">
      <c r="A85" t="s">
        <v>81</v>
      </c>
      <c r="B85" t="s">
        <v>82</v>
      </c>
      <c r="C85" t="str">
        <f t="shared" si="2"/>
        <v>2025</v>
      </c>
      <c r="D85" t="str">
        <f t="shared" si="3"/>
        <v>04</v>
      </c>
      <c r="E85" t="s">
        <v>80</v>
      </c>
      <c r="F85" t="s">
        <v>92</v>
      </c>
      <c r="G85" t="s">
        <v>24</v>
      </c>
      <c r="H85" t="s">
        <v>25</v>
      </c>
      <c r="I85" t="s">
        <v>26</v>
      </c>
      <c r="J85">
        <v>110</v>
      </c>
      <c r="K85">
        <v>2575.9299999999998</v>
      </c>
      <c r="L85">
        <v>416.45</v>
      </c>
      <c r="M85">
        <v>0.16170000000000001</v>
      </c>
      <c r="N85">
        <v>348.33</v>
      </c>
      <c r="O85">
        <v>0.13519999999999999</v>
      </c>
      <c r="P85">
        <v>1.1299999999999999</v>
      </c>
      <c r="Q85">
        <v>0.61899999999999999</v>
      </c>
      <c r="R85">
        <v>87.16</v>
      </c>
      <c r="S85">
        <v>101.77</v>
      </c>
      <c r="T85">
        <v>120.43</v>
      </c>
      <c r="U85">
        <v>38000</v>
      </c>
      <c r="V85">
        <v>3458000</v>
      </c>
    </row>
    <row r="86" spans="1:22" x14ac:dyDescent="0.25">
      <c r="A86" t="s">
        <v>83</v>
      </c>
      <c r="B86" t="s">
        <v>84</v>
      </c>
      <c r="C86" t="str">
        <f t="shared" si="2"/>
        <v>2025</v>
      </c>
      <c r="D86" t="str">
        <f t="shared" si="3"/>
        <v>07</v>
      </c>
      <c r="E86" t="s">
        <v>80</v>
      </c>
      <c r="F86" t="s">
        <v>92</v>
      </c>
      <c r="G86" t="s">
        <v>24</v>
      </c>
      <c r="H86" t="s">
        <v>25</v>
      </c>
      <c r="I86" t="s">
        <v>26</v>
      </c>
      <c r="J86">
        <v>110</v>
      </c>
      <c r="K86">
        <v>2656.07</v>
      </c>
      <c r="L86">
        <v>388.06</v>
      </c>
      <c r="M86">
        <v>0.14610000000000001</v>
      </c>
      <c r="N86">
        <v>126.88</v>
      </c>
      <c r="O86">
        <v>4.7800000000000002E-2</v>
      </c>
      <c r="P86">
        <v>1.1399999999999999</v>
      </c>
      <c r="Q86">
        <v>0.63700000000000001</v>
      </c>
      <c r="R86">
        <v>61.03</v>
      </c>
      <c r="S86">
        <v>93.24</v>
      </c>
      <c r="T86">
        <v>112.22</v>
      </c>
      <c r="U86">
        <v>38000</v>
      </c>
      <c r="V86">
        <v>3458000</v>
      </c>
    </row>
    <row r="87" spans="1:22" x14ac:dyDescent="0.25">
      <c r="A87" t="s">
        <v>85</v>
      </c>
      <c r="B87" t="s">
        <v>86</v>
      </c>
      <c r="C87" t="str">
        <f t="shared" si="2"/>
        <v>2025</v>
      </c>
      <c r="D87" t="str">
        <f t="shared" si="3"/>
        <v>10</v>
      </c>
      <c r="E87" t="s">
        <v>80</v>
      </c>
      <c r="F87" t="s">
        <v>92</v>
      </c>
      <c r="G87" t="s">
        <v>24</v>
      </c>
      <c r="H87" t="s">
        <v>25</v>
      </c>
      <c r="I87" t="s">
        <v>26</v>
      </c>
      <c r="J87">
        <v>110</v>
      </c>
      <c r="K87">
        <v>2493.5</v>
      </c>
      <c r="L87">
        <v>386.15</v>
      </c>
      <c r="M87">
        <v>0.15490000000000001</v>
      </c>
      <c r="N87">
        <v>297.41000000000003</v>
      </c>
      <c r="O87">
        <v>0.1193</v>
      </c>
      <c r="P87">
        <v>0.98</v>
      </c>
      <c r="Q87">
        <v>0.29399999999999998</v>
      </c>
      <c r="R87">
        <v>27.34</v>
      </c>
      <c r="S87">
        <v>99.34</v>
      </c>
      <c r="T87">
        <v>111.67</v>
      </c>
      <c r="U87">
        <v>38000</v>
      </c>
      <c r="V87">
        <v>3458000</v>
      </c>
    </row>
    <row r="88" spans="1:22" x14ac:dyDescent="0.25">
      <c r="A88" t="s">
        <v>87</v>
      </c>
      <c r="B88" t="s">
        <v>88</v>
      </c>
      <c r="C88" t="str">
        <f t="shared" si="2"/>
        <v>2026</v>
      </c>
      <c r="D88" t="str">
        <f t="shared" si="3"/>
        <v>01</v>
      </c>
      <c r="E88" t="s">
        <v>89</v>
      </c>
      <c r="F88" t="s">
        <v>92</v>
      </c>
      <c r="G88" t="s">
        <v>24</v>
      </c>
      <c r="H88" t="s">
        <v>25</v>
      </c>
      <c r="I88" t="s">
        <v>26</v>
      </c>
      <c r="J88">
        <v>110</v>
      </c>
      <c r="K88">
        <v>1328.97</v>
      </c>
      <c r="L88">
        <v>507.63</v>
      </c>
      <c r="M88">
        <v>0.38200000000000001</v>
      </c>
      <c r="N88">
        <v>-241.72</v>
      </c>
      <c r="O88">
        <v>-0.18190000000000001</v>
      </c>
      <c r="P88">
        <v>0.59</v>
      </c>
      <c r="Q88">
        <v>2.8999999999999998E-2</v>
      </c>
      <c r="R88">
        <v>9.2899999999999991</v>
      </c>
      <c r="S88">
        <v>130.88</v>
      </c>
      <c r="T88">
        <v>146.80000000000001</v>
      </c>
      <c r="U88">
        <v>38000</v>
      </c>
      <c r="V88">
        <v>3458000</v>
      </c>
    </row>
    <row r="89" spans="1:22" x14ac:dyDescent="0.25">
      <c r="A89" t="s">
        <v>20</v>
      </c>
      <c r="B89" t="s">
        <v>21</v>
      </c>
      <c r="C89" t="str">
        <f t="shared" si="2"/>
        <v>2019</v>
      </c>
      <c r="D89" t="str">
        <f t="shared" si="3"/>
        <v>01</v>
      </c>
      <c r="E89" t="s">
        <v>22</v>
      </c>
      <c r="F89" t="s">
        <v>93</v>
      </c>
      <c r="G89" t="s">
        <v>24</v>
      </c>
      <c r="H89" t="s">
        <v>25</v>
      </c>
      <c r="I89" t="s">
        <v>94</v>
      </c>
      <c r="J89">
        <v>87</v>
      </c>
      <c r="K89">
        <v>942.04</v>
      </c>
      <c r="L89">
        <v>122.16</v>
      </c>
      <c r="M89">
        <v>0.12970000000000001</v>
      </c>
      <c r="N89">
        <v>97.01</v>
      </c>
      <c r="O89">
        <v>0.10300000000000001</v>
      </c>
      <c r="P89">
        <v>0.91</v>
      </c>
      <c r="Q89">
        <v>0.13600000000000001</v>
      </c>
      <c r="R89">
        <v>0</v>
      </c>
      <c r="S89">
        <v>63</v>
      </c>
      <c r="T89">
        <v>74.58</v>
      </c>
      <c r="U89">
        <v>18000</v>
      </c>
      <c r="V89">
        <v>1638000</v>
      </c>
    </row>
    <row r="90" spans="1:22" x14ac:dyDescent="0.25">
      <c r="A90" t="s">
        <v>27</v>
      </c>
      <c r="B90" t="s">
        <v>28</v>
      </c>
      <c r="C90" t="str">
        <f t="shared" si="2"/>
        <v>2019</v>
      </c>
      <c r="D90" t="str">
        <f t="shared" si="3"/>
        <v>04</v>
      </c>
      <c r="E90" t="s">
        <v>22</v>
      </c>
      <c r="F90" t="s">
        <v>93</v>
      </c>
      <c r="G90" t="s">
        <v>24</v>
      </c>
      <c r="H90" t="s">
        <v>25</v>
      </c>
      <c r="I90" t="s">
        <v>94</v>
      </c>
      <c r="J90">
        <v>87</v>
      </c>
      <c r="K90">
        <v>923.88</v>
      </c>
      <c r="L90">
        <v>120.13</v>
      </c>
      <c r="M90">
        <v>0.13</v>
      </c>
      <c r="N90">
        <v>55.77</v>
      </c>
      <c r="O90">
        <v>6.0400000000000002E-2</v>
      </c>
      <c r="P90">
        <v>0.78</v>
      </c>
      <c r="Q90">
        <v>0.27300000000000002</v>
      </c>
      <c r="R90">
        <v>0</v>
      </c>
      <c r="S90">
        <v>64.790000000000006</v>
      </c>
      <c r="T90">
        <v>73.34</v>
      </c>
      <c r="U90">
        <v>18000</v>
      </c>
      <c r="V90">
        <v>1638000</v>
      </c>
    </row>
    <row r="91" spans="1:22" x14ac:dyDescent="0.25">
      <c r="A91" t="s">
        <v>29</v>
      </c>
      <c r="B91" t="s">
        <v>30</v>
      </c>
      <c r="C91" t="str">
        <f t="shared" si="2"/>
        <v>2019</v>
      </c>
      <c r="D91" t="str">
        <f t="shared" si="3"/>
        <v>07</v>
      </c>
      <c r="E91" t="s">
        <v>22</v>
      </c>
      <c r="F91" t="s">
        <v>93</v>
      </c>
      <c r="G91" t="s">
        <v>24</v>
      </c>
      <c r="H91" t="s">
        <v>25</v>
      </c>
      <c r="I91" t="s">
        <v>94</v>
      </c>
      <c r="J91">
        <v>87</v>
      </c>
      <c r="K91">
        <v>1025.8399999999999</v>
      </c>
      <c r="L91">
        <v>116.48</v>
      </c>
      <c r="M91">
        <v>0.11349999999999999</v>
      </c>
      <c r="N91">
        <v>94.75</v>
      </c>
      <c r="O91">
        <v>9.2399999999999996E-2</v>
      </c>
      <c r="P91">
        <v>0.87</v>
      </c>
      <c r="Q91">
        <v>0.311</v>
      </c>
      <c r="R91">
        <v>0</v>
      </c>
      <c r="S91">
        <v>60.46</v>
      </c>
      <c r="T91">
        <v>71.11</v>
      </c>
      <c r="U91">
        <v>18000</v>
      </c>
      <c r="V91">
        <v>1638000</v>
      </c>
    </row>
    <row r="92" spans="1:22" x14ac:dyDescent="0.25">
      <c r="A92" t="s">
        <v>31</v>
      </c>
      <c r="B92" t="s">
        <v>32</v>
      </c>
      <c r="C92" t="str">
        <f t="shared" si="2"/>
        <v>2019</v>
      </c>
      <c r="D92" t="str">
        <f t="shared" si="3"/>
        <v>10</v>
      </c>
      <c r="E92" t="s">
        <v>22</v>
      </c>
      <c r="F92" t="s">
        <v>93</v>
      </c>
      <c r="G92" t="s">
        <v>24</v>
      </c>
      <c r="H92" t="s">
        <v>25</v>
      </c>
      <c r="I92" t="s">
        <v>94</v>
      </c>
      <c r="J92">
        <v>87</v>
      </c>
      <c r="K92">
        <v>922.04</v>
      </c>
      <c r="L92">
        <v>126.08</v>
      </c>
      <c r="M92">
        <v>0.13669999999999999</v>
      </c>
      <c r="N92">
        <v>39.65</v>
      </c>
      <c r="O92">
        <v>4.2999999999999997E-2</v>
      </c>
      <c r="P92">
        <v>0.84</v>
      </c>
      <c r="Q92">
        <v>0.124</v>
      </c>
      <c r="R92">
        <v>0</v>
      </c>
      <c r="S92">
        <v>65.66</v>
      </c>
      <c r="T92">
        <v>76.97</v>
      </c>
      <c r="U92">
        <v>18000</v>
      </c>
      <c r="V92">
        <v>1638000</v>
      </c>
    </row>
    <row r="93" spans="1:22" x14ac:dyDescent="0.25">
      <c r="A93" t="s">
        <v>33</v>
      </c>
      <c r="B93" t="s">
        <v>34</v>
      </c>
      <c r="C93" t="str">
        <f t="shared" si="2"/>
        <v>2020</v>
      </c>
      <c r="D93" t="str">
        <f t="shared" si="3"/>
        <v>01</v>
      </c>
      <c r="E93" t="s">
        <v>22</v>
      </c>
      <c r="F93" t="s">
        <v>93</v>
      </c>
      <c r="G93" t="s">
        <v>24</v>
      </c>
      <c r="H93" t="s">
        <v>25</v>
      </c>
      <c r="I93" t="s">
        <v>94</v>
      </c>
      <c r="J93">
        <v>87</v>
      </c>
      <c r="K93">
        <v>951.81</v>
      </c>
      <c r="L93">
        <v>123.47</v>
      </c>
      <c r="M93">
        <v>0.12970000000000001</v>
      </c>
      <c r="N93">
        <v>60.07</v>
      </c>
      <c r="O93">
        <v>6.3099999999999989E-2</v>
      </c>
      <c r="P93">
        <v>0.92</v>
      </c>
      <c r="Q93">
        <v>0.16800000000000001</v>
      </c>
      <c r="R93">
        <v>0</v>
      </c>
      <c r="S93">
        <v>66.66</v>
      </c>
      <c r="T93">
        <v>75.38</v>
      </c>
      <c r="U93">
        <v>18000</v>
      </c>
      <c r="V93">
        <v>1638000</v>
      </c>
    </row>
    <row r="94" spans="1:22" x14ac:dyDescent="0.25">
      <c r="A94" t="s">
        <v>35</v>
      </c>
      <c r="B94" t="s">
        <v>36</v>
      </c>
      <c r="C94" t="str">
        <f t="shared" si="2"/>
        <v>2020</v>
      </c>
      <c r="D94" t="str">
        <f t="shared" si="3"/>
        <v>04</v>
      </c>
      <c r="E94" t="s">
        <v>37</v>
      </c>
      <c r="F94" t="s">
        <v>93</v>
      </c>
      <c r="G94" t="s">
        <v>24</v>
      </c>
      <c r="H94" t="s">
        <v>25</v>
      </c>
      <c r="I94" t="s">
        <v>94</v>
      </c>
      <c r="J94">
        <v>87</v>
      </c>
      <c r="K94">
        <v>227.82</v>
      </c>
      <c r="L94">
        <v>38.799999999999997</v>
      </c>
      <c r="M94">
        <v>0.17030000000000001</v>
      </c>
      <c r="N94">
        <v>-89.15</v>
      </c>
      <c r="O94">
        <v>-0.39130000000000004</v>
      </c>
      <c r="P94">
        <v>0.19</v>
      </c>
      <c r="Q94">
        <v>0.22899999999999998</v>
      </c>
      <c r="R94">
        <v>0</v>
      </c>
      <c r="S94">
        <v>20.57</v>
      </c>
      <c r="T94">
        <v>23.69</v>
      </c>
      <c r="U94">
        <v>18000</v>
      </c>
      <c r="V94">
        <v>1638000</v>
      </c>
    </row>
    <row r="95" spans="1:22" x14ac:dyDescent="0.25">
      <c r="A95" t="s">
        <v>38</v>
      </c>
      <c r="B95" t="s">
        <v>39</v>
      </c>
      <c r="C95" t="str">
        <f t="shared" si="2"/>
        <v>2020</v>
      </c>
      <c r="D95" t="str">
        <f t="shared" si="3"/>
        <v>07</v>
      </c>
      <c r="E95" t="s">
        <v>37</v>
      </c>
      <c r="F95" t="s">
        <v>93</v>
      </c>
      <c r="G95" t="s">
        <v>24</v>
      </c>
      <c r="H95" t="s">
        <v>25</v>
      </c>
      <c r="I95" t="s">
        <v>94</v>
      </c>
      <c r="J95">
        <v>87</v>
      </c>
      <c r="K95">
        <v>307.56</v>
      </c>
      <c r="L95">
        <v>82.6</v>
      </c>
      <c r="M95">
        <v>0.26860000000000001</v>
      </c>
      <c r="N95">
        <v>-111.36</v>
      </c>
      <c r="O95">
        <v>-0.36210000000000003</v>
      </c>
      <c r="P95">
        <v>0.28999999999999998</v>
      </c>
      <c r="Q95">
        <v>6.0999999999999999E-2</v>
      </c>
      <c r="R95">
        <v>0</v>
      </c>
      <c r="S95">
        <v>44.05</v>
      </c>
      <c r="T95">
        <v>50.43</v>
      </c>
      <c r="U95">
        <v>18000</v>
      </c>
      <c r="V95">
        <v>1638000</v>
      </c>
    </row>
    <row r="96" spans="1:22" x14ac:dyDescent="0.25">
      <c r="A96" t="s">
        <v>40</v>
      </c>
      <c r="B96" t="s">
        <v>41</v>
      </c>
      <c r="C96" t="str">
        <f t="shared" si="2"/>
        <v>2020</v>
      </c>
      <c r="D96" t="str">
        <f t="shared" si="3"/>
        <v>10</v>
      </c>
      <c r="E96" t="s">
        <v>37</v>
      </c>
      <c r="F96" t="s">
        <v>93</v>
      </c>
      <c r="G96" t="s">
        <v>24</v>
      </c>
      <c r="H96" t="s">
        <v>25</v>
      </c>
      <c r="I96" t="s">
        <v>94</v>
      </c>
      <c r="J96">
        <v>87</v>
      </c>
      <c r="K96">
        <v>187.25</v>
      </c>
      <c r="L96">
        <v>74.790000000000006</v>
      </c>
      <c r="M96">
        <v>0.39939999999999998</v>
      </c>
      <c r="N96">
        <v>-78.11</v>
      </c>
      <c r="O96">
        <v>-0.41710000000000003</v>
      </c>
      <c r="P96">
        <v>0.16</v>
      </c>
      <c r="Q96">
        <v>0.36299999999999999</v>
      </c>
      <c r="R96">
        <v>0</v>
      </c>
      <c r="S96">
        <v>39.950000000000003</v>
      </c>
      <c r="T96">
        <v>45.66</v>
      </c>
      <c r="U96">
        <v>18000</v>
      </c>
      <c r="V96">
        <v>1638000</v>
      </c>
    </row>
    <row r="97" spans="1:22" x14ac:dyDescent="0.25">
      <c r="A97" t="s">
        <v>42</v>
      </c>
      <c r="B97" t="s">
        <v>43</v>
      </c>
      <c r="C97" t="str">
        <f t="shared" si="2"/>
        <v>2021</v>
      </c>
      <c r="D97" t="str">
        <f t="shared" si="3"/>
        <v>01</v>
      </c>
      <c r="E97" t="s">
        <v>37</v>
      </c>
      <c r="F97" t="s">
        <v>93</v>
      </c>
      <c r="G97" t="s">
        <v>24</v>
      </c>
      <c r="H97" t="s">
        <v>25</v>
      </c>
      <c r="I97" t="s">
        <v>94</v>
      </c>
      <c r="J97">
        <v>87</v>
      </c>
      <c r="K97">
        <v>213.47</v>
      </c>
      <c r="L97">
        <v>140.49</v>
      </c>
      <c r="M97">
        <v>0.65810000000000002</v>
      </c>
      <c r="N97">
        <v>-63.86</v>
      </c>
      <c r="O97">
        <v>-0.29920000000000002</v>
      </c>
      <c r="P97">
        <v>0.2</v>
      </c>
      <c r="Q97">
        <v>0.17600000000000002</v>
      </c>
      <c r="R97">
        <v>0</v>
      </c>
      <c r="S97">
        <v>75.489999999999995</v>
      </c>
      <c r="T97">
        <v>85.77</v>
      </c>
      <c r="U97">
        <v>18000</v>
      </c>
      <c r="V97">
        <v>1638000</v>
      </c>
    </row>
    <row r="98" spans="1:22" x14ac:dyDescent="0.25">
      <c r="A98" t="s">
        <v>44</v>
      </c>
      <c r="B98" t="s">
        <v>45</v>
      </c>
      <c r="C98" t="str">
        <f t="shared" si="2"/>
        <v>2021</v>
      </c>
      <c r="D98" t="str">
        <f t="shared" si="3"/>
        <v>04</v>
      </c>
      <c r="E98" t="s">
        <v>37</v>
      </c>
      <c r="F98" t="s">
        <v>93</v>
      </c>
      <c r="G98" t="s">
        <v>24</v>
      </c>
      <c r="H98" t="s">
        <v>25</v>
      </c>
      <c r="I98" t="s">
        <v>94</v>
      </c>
      <c r="J98">
        <v>87</v>
      </c>
      <c r="K98">
        <v>211.99</v>
      </c>
      <c r="L98">
        <v>148.93</v>
      </c>
      <c r="M98">
        <v>0.70250000000000001</v>
      </c>
      <c r="N98">
        <v>-90.73</v>
      </c>
      <c r="O98">
        <v>-0.42799999999999999</v>
      </c>
      <c r="P98">
        <v>0.18</v>
      </c>
      <c r="Q98">
        <v>0.311</v>
      </c>
      <c r="R98">
        <v>0.47</v>
      </c>
      <c r="S98">
        <v>76.83</v>
      </c>
      <c r="T98">
        <v>90.92</v>
      </c>
      <c r="U98">
        <v>18000</v>
      </c>
      <c r="V98">
        <v>1638000</v>
      </c>
    </row>
    <row r="99" spans="1:22" x14ac:dyDescent="0.25">
      <c r="A99" t="s">
        <v>46</v>
      </c>
      <c r="B99" t="s">
        <v>47</v>
      </c>
      <c r="C99" t="str">
        <f t="shared" si="2"/>
        <v>2021</v>
      </c>
      <c r="D99" t="str">
        <f t="shared" si="3"/>
        <v>07</v>
      </c>
      <c r="E99" t="s">
        <v>48</v>
      </c>
      <c r="F99" t="s">
        <v>93</v>
      </c>
      <c r="G99" t="s">
        <v>24</v>
      </c>
      <c r="H99" t="s">
        <v>25</v>
      </c>
      <c r="I99" t="s">
        <v>94</v>
      </c>
      <c r="J99">
        <v>87</v>
      </c>
      <c r="K99">
        <v>777.98</v>
      </c>
      <c r="L99">
        <v>147.29</v>
      </c>
      <c r="M99">
        <v>0.1893</v>
      </c>
      <c r="N99">
        <v>34.200000000000003</v>
      </c>
      <c r="O99">
        <v>4.4000000000000004E-2</v>
      </c>
      <c r="P99">
        <v>0.62</v>
      </c>
      <c r="Q99">
        <v>9.0999999999999998E-2</v>
      </c>
      <c r="R99">
        <v>0</v>
      </c>
      <c r="S99">
        <v>78.97</v>
      </c>
      <c r="T99">
        <v>89.92</v>
      </c>
      <c r="U99">
        <v>18000</v>
      </c>
      <c r="V99">
        <v>1638000</v>
      </c>
    </row>
    <row r="100" spans="1:22" x14ac:dyDescent="0.25">
      <c r="A100" t="s">
        <v>49</v>
      </c>
      <c r="B100" t="s">
        <v>50</v>
      </c>
      <c r="C100" t="str">
        <f t="shared" si="2"/>
        <v>2021</v>
      </c>
      <c r="D100" t="str">
        <f t="shared" si="3"/>
        <v>10</v>
      </c>
      <c r="E100" t="s">
        <v>48</v>
      </c>
      <c r="F100" t="s">
        <v>93</v>
      </c>
      <c r="G100" t="s">
        <v>24</v>
      </c>
      <c r="H100" t="s">
        <v>25</v>
      </c>
      <c r="I100" t="s">
        <v>94</v>
      </c>
      <c r="J100">
        <v>87</v>
      </c>
      <c r="K100">
        <v>756.39</v>
      </c>
      <c r="L100">
        <v>170.76</v>
      </c>
      <c r="M100">
        <v>0.22579999999999997</v>
      </c>
      <c r="N100">
        <v>54.85</v>
      </c>
      <c r="O100">
        <v>7.2499999999999995E-2</v>
      </c>
      <c r="P100">
        <v>0.7</v>
      </c>
      <c r="Q100">
        <v>0.129</v>
      </c>
      <c r="R100">
        <v>3.49</v>
      </c>
      <c r="S100">
        <v>86.82</v>
      </c>
      <c r="T100">
        <v>104.25</v>
      </c>
      <c r="U100">
        <v>18000</v>
      </c>
      <c r="V100">
        <v>1638000</v>
      </c>
    </row>
    <row r="101" spans="1:22" x14ac:dyDescent="0.25">
      <c r="A101" t="s">
        <v>51</v>
      </c>
      <c r="B101" t="s">
        <v>52</v>
      </c>
      <c r="C101" t="str">
        <f t="shared" si="2"/>
        <v>2022</v>
      </c>
      <c r="D101" t="str">
        <f t="shared" si="3"/>
        <v>01</v>
      </c>
      <c r="E101" t="s">
        <v>48</v>
      </c>
      <c r="F101" t="s">
        <v>93</v>
      </c>
      <c r="G101" t="s">
        <v>24</v>
      </c>
      <c r="H101" t="s">
        <v>25</v>
      </c>
      <c r="I101" t="s">
        <v>94</v>
      </c>
      <c r="J101">
        <v>87</v>
      </c>
      <c r="K101">
        <v>637.94000000000005</v>
      </c>
      <c r="L101">
        <v>133.4</v>
      </c>
      <c r="M101">
        <v>0.20910000000000001</v>
      </c>
      <c r="N101">
        <v>40.840000000000003</v>
      </c>
      <c r="O101">
        <v>6.4000000000000001E-2</v>
      </c>
      <c r="P101">
        <v>0.52</v>
      </c>
      <c r="Q101">
        <v>0.10300000000000001</v>
      </c>
      <c r="R101">
        <v>0</v>
      </c>
      <c r="S101">
        <v>72.010000000000005</v>
      </c>
      <c r="T101">
        <v>81.44</v>
      </c>
      <c r="U101">
        <v>18000</v>
      </c>
      <c r="V101">
        <v>1638000</v>
      </c>
    </row>
    <row r="102" spans="1:22" x14ac:dyDescent="0.25">
      <c r="A102" t="s">
        <v>53</v>
      </c>
      <c r="B102" t="s">
        <v>54</v>
      </c>
      <c r="C102" t="str">
        <f t="shared" si="2"/>
        <v>2022</v>
      </c>
      <c r="D102" t="str">
        <f t="shared" si="3"/>
        <v>04</v>
      </c>
      <c r="E102" t="s">
        <v>55</v>
      </c>
      <c r="F102" t="s">
        <v>93</v>
      </c>
      <c r="G102" t="s">
        <v>24</v>
      </c>
      <c r="H102" t="s">
        <v>25</v>
      </c>
      <c r="I102" t="s">
        <v>94</v>
      </c>
      <c r="J102">
        <v>87</v>
      </c>
      <c r="K102">
        <v>968.37</v>
      </c>
      <c r="L102">
        <v>215.61</v>
      </c>
      <c r="M102">
        <v>0.22270000000000001</v>
      </c>
      <c r="N102">
        <v>34.090000000000003</v>
      </c>
      <c r="O102">
        <v>3.5200000000000002E-2</v>
      </c>
      <c r="P102">
        <v>0.81</v>
      </c>
      <c r="Q102">
        <v>0.1</v>
      </c>
      <c r="R102">
        <v>9.9700000000000006</v>
      </c>
      <c r="S102">
        <v>109.53</v>
      </c>
      <c r="T102">
        <v>131.63</v>
      </c>
      <c r="U102">
        <v>18000</v>
      </c>
      <c r="V102">
        <v>1638000</v>
      </c>
    </row>
    <row r="103" spans="1:22" x14ac:dyDescent="0.25">
      <c r="A103" t="s">
        <v>56</v>
      </c>
      <c r="B103" t="s">
        <v>57</v>
      </c>
      <c r="C103" t="str">
        <f t="shared" si="2"/>
        <v>2022</v>
      </c>
      <c r="D103" t="str">
        <f t="shared" si="3"/>
        <v>07</v>
      </c>
      <c r="E103" t="s">
        <v>55</v>
      </c>
      <c r="F103" t="s">
        <v>93</v>
      </c>
      <c r="G103" t="s">
        <v>24</v>
      </c>
      <c r="H103" t="s">
        <v>25</v>
      </c>
      <c r="I103" t="s">
        <v>94</v>
      </c>
      <c r="J103">
        <v>87</v>
      </c>
      <c r="K103">
        <v>1034.42</v>
      </c>
      <c r="L103">
        <v>154.77000000000001</v>
      </c>
      <c r="M103">
        <v>0.14960000000000001</v>
      </c>
      <c r="N103">
        <v>31.03</v>
      </c>
      <c r="O103">
        <v>0.03</v>
      </c>
      <c r="P103">
        <v>1</v>
      </c>
      <c r="Q103">
        <v>0.16399999999999998</v>
      </c>
      <c r="R103">
        <v>1.27</v>
      </c>
      <c r="S103">
        <v>80.69</v>
      </c>
      <c r="T103">
        <v>94.49</v>
      </c>
      <c r="U103">
        <v>18000</v>
      </c>
      <c r="V103">
        <v>1638000</v>
      </c>
    </row>
    <row r="104" spans="1:22" x14ac:dyDescent="0.25">
      <c r="A104" t="s">
        <v>58</v>
      </c>
      <c r="B104" t="s">
        <v>59</v>
      </c>
      <c r="C104" t="str">
        <f t="shared" si="2"/>
        <v>2022</v>
      </c>
      <c r="D104" t="str">
        <f t="shared" si="3"/>
        <v>10</v>
      </c>
      <c r="E104" t="s">
        <v>55</v>
      </c>
      <c r="F104" t="s">
        <v>93</v>
      </c>
      <c r="G104" t="s">
        <v>24</v>
      </c>
      <c r="H104" t="s">
        <v>25</v>
      </c>
      <c r="I104" t="s">
        <v>94</v>
      </c>
      <c r="J104">
        <v>87</v>
      </c>
      <c r="K104">
        <v>1011.1</v>
      </c>
      <c r="L104">
        <v>172.91</v>
      </c>
      <c r="M104">
        <v>0.17100000000000001</v>
      </c>
      <c r="N104">
        <v>97.07</v>
      </c>
      <c r="O104">
        <v>9.6000000000000002E-2</v>
      </c>
      <c r="P104">
        <v>0.9</v>
      </c>
      <c r="Q104">
        <v>0.32</v>
      </c>
      <c r="R104">
        <v>9.57</v>
      </c>
      <c r="S104">
        <v>93.25</v>
      </c>
      <c r="T104">
        <v>105.56</v>
      </c>
      <c r="U104">
        <v>18000</v>
      </c>
      <c r="V104">
        <v>1638000</v>
      </c>
    </row>
    <row r="105" spans="1:22" x14ac:dyDescent="0.25">
      <c r="A105" t="s">
        <v>60</v>
      </c>
      <c r="B105" t="s">
        <v>61</v>
      </c>
      <c r="C105" t="str">
        <f t="shared" si="2"/>
        <v>2023</v>
      </c>
      <c r="D105" t="str">
        <f t="shared" si="3"/>
        <v>01</v>
      </c>
      <c r="E105" t="s">
        <v>62</v>
      </c>
      <c r="F105" t="s">
        <v>93</v>
      </c>
      <c r="G105" t="s">
        <v>24</v>
      </c>
      <c r="H105" t="s">
        <v>25</v>
      </c>
      <c r="I105" t="s">
        <v>94</v>
      </c>
      <c r="J105">
        <v>87</v>
      </c>
      <c r="K105">
        <v>935.35</v>
      </c>
      <c r="L105">
        <v>159.1</v>
      </c>
      <c r="M105">
        <v>0.17010000000000003</v>
      </c>
      <c r="N105">
        <v>73.23</v>
      </c>
      <c r="O105">
        <v>7.8299999999999995E-2</v>
      </c>
      <c r="P105">
        <v>0.84</v>
      </c>
      <c r="Q105">
        <v>0.34799999999999998</v>
      </c>
      <c r="R105">
        <v>4.3899999999999997</v>
      </c>
      <c r="S105">
        <v>84.29</v>
      </c>
      <c r="T105">
        <v>97.13</v>
      </c>
      <c r="U105">
        <v>18000</v>
      </c>
      <c r="V105">
        <v>1638000</v>
      </c>
    </row>
    <row r="106" spans="1:22" x14ac:dyDescent="0.25">
      <c r="A106" t="s">
        <v>63</v>
      </c>
      <c r="B106" t="s">
        <v>64</v>
      </c>
      <c r="C106" t="str">
        <f t="shared" si="2"/>
        <v>2023</v>
      </c>
      <c r="D106" t="str">
        <f t="shared" si="3"/>
        <v>04</v>
      </c>
      <c r="E106" t="s">
        <v>62</v>
      </c>
      <c r="F106" t="s">
        <v>93</v>
      </c>
      <c r="G106" t="s">
        <v>24</v>
      </c>
      <c r="H106" t="s">
        <v>25</v>
      </c>
      <c r="I106" t="s">
        <v>94</v>
      </c>
      <c r="J106">
        <v>87</v>
      </c>
      <c r="K106">
        <v>979.16</v>
      </c>
      <c r="L106">
        <v>167.03</v>
      </c>
      <c r="M106">
        <v>0.17059999999999997</v>
      </c>
      <c r="N106">
        <v>41.33</v>
      </c>
      <c r="O106">
        <v>4.2199999999999994E-2</v>
      </c>
      <c r="P106">
        <v>0.84</v>
      </c>
      <c r="Q106">
        <v>0.35299999999999998</v>
      </c>
      <c r="R106">
        <v>7.84</v>
      </c>
      <c r="S106">
        <v>88.18</v>
      </c>
      <c r="T106">
        <v>101.97</v>
      </c>
      <c r="U106">
        <v>18000</v>
      </c>
      <c r="V106">
        <v>1638000</v>
      </c>
    </row>
    <row r="107" spans="1:22" x14ac:dyDescent="0.25">
      <c r="A107" t="s">
        <v>65</v>
      </c>
      <c r="B107" t="s">
        <v>66</v>
      </c>
      <c r="C107" t="str">
        <f t="shared" si="2"/>
        <v>2023</v>
      </c>
      <c r="D107" t="str">
        <f t="shared" si="3"/>
        <v>07</v>
      </c>
      <c r="E107" t="s">
        <v>62</v>
      </c>
      <c r="F107" t="s">
        <v>93</v>
      </c>
      <c r="G107" t="s">
        <v>24</v>
      </c>
      <c r="H107" t="s">
        <v>25</v>
      </c>
      <c r="I107" t="s">
        <v>94</v>
      </c>
      <c r="J107">
        <v>87</v>
      </c>
      <c r="K107">
        <v>932.17</v>
      </c>
      <c r="L107">
        <v>159.74</v>
      </c>
      <c r="M107">
        <v>0.1714</v>
      </c>
      <c r="N107">
        <v>71.58</v>
      </c>
      <c r="O107">
        <v>7.6799999999999993E-2</v>
      </c>
      <c r="P107">
        <v>0.81</v>
      </c>
      <c r="Q107">
        <v>0.10400000000000001</v>
      </c>
      <c r="R107">
        <v>1.39</v>
      </c>
      <c r="S107">
        <v>85.16</v>
      </c>
      <c r="T107">
        <v>97.52</v>
      </c>
      <c r="U107">
        <v>18000</v>
      </c>
      <c r="V107">
        <v>1638000</v>
      </c>
    </row>
    <row r="108" spans="1:22" x14ac:dyDescent="0.25">
      <c r="A108" t="s">
        <v>67</v>
      </c>
      <c r="B108" t="s">
        <v>68</v>
      </c>
      <c r="C108" t="str">
        <f t="shared" si="2"/>
        <v>2023</v>
      </c>
      <c r="D108" t="str">
        <f t="shared" si="3"/>
        <v>10</v>
      </c>
      <c r="E108" t="s">
        <v>69</v>
      </c>
      <c r="F108" t="s">
        <v>93</v>
      </c>
      <c r="G108" t="s">
        <v>24</v>
      </c>
      <c r="H108" t="s">
        <v>25</v>
      </c>
      <c r="I108" t="s">
        <v>94</v>
      </c>
      <c r="J108">
        <v>87</v>
      </c>
      <c r="K108">
        <v>945.7</v>
      </c>
      <c r="L108">
        <v>147.35</v>
      </c>
      <c r="M108">
        <v>0.15579999999999999</v>
      </c>
      <c r="N108">
        <v>115.13</v>
      </c>
      <c r="O108">
        <v>0.1217</v>
      </c>
      <c r="P108">
        <v>0.9</v>
      </c>
      <c r="Q108">
        <v>0.253</v>
      </c>
      <c r="R108">
        <v>0</v>
      </c>
      <c r="S108">
        <v>78.33</v>
      </c>
      <c r="T108">
        <v>89.96</v>
      </c>
      <c r="U108">
        <v>18000</v>
      </c>
      <c r="V108">
        <v>1638000</v>
      </c>
    </row>
    <row r="109" spans="1:22" x14ac:dyDescent="0.25">
      <c r="A109" t="s">
        <v>70</v>
      </c>
      <c r="B109" t="s">
        <v>71</v>
      </c>
      <c r="C109" t="str">
        <f t="shared" si="2"/>
        <v>2024</v>
      </c>
      <c r="D109" t="str">
        <f t="shared" si="3"/>
        <v>01</v>
      </c>
      <c r="E109" t="s">
        <v>69</v>
      </c>
      <c r="F109" t="s">
        <v>93</v>
      </c>
      <c r="G109" t="s">
        <v>24</v>
      </c>
      <c r="H109" t="s">
        <v>25</v>
      </c>
      <c r="I109" t="s">
        <v>94</v>
      </c>
      <c r="J109">
        <v>87</v>
      </c>
      <c r="K109">
        <v>986.32</v>
      </c>
      <c r="L109">
        <v>162.19</v>
      </c>
      <c r="M109">
        <v>0.16440000000000002</v>
      </c>
      <c r="N109">
        <v>92.18</v>
      </c>
      <c r="O109">
        <v>9.35E-2</v>
      </c>
      <c r="P109">
        <v>0.8</v>
      </c>
      <c r="Q109">
        <v>0.29399999999999998</v>
      </c>
      <c r="R109">
        <v>4.78</v>
      </c>
      <c r="S109">
        <v>84.61</v>
      </c>
      <c r="T109">
        <v>99.02</v>
      </c>
      <c r="U109">
        <v>18000</v>
      </c>
      <c r="V109">
        <v>1638000</v>
      </c>
    </row>
    <row r="110" spans="1:22" x14ac:dyDescent="0.25">
      <c r="A110" t="s">
        <v>72</v>
      </c>
      <c r="B110" t="s">
        <v>73</v>
      </c>
      <c r="C110" t="str">
        <f t="shared" si="2"/>
        <v>2024</v>
      </c>
      <c r="D110" t="str">
        <f t="shared" si="3"/>
        <v>04</v>
      </c>
      <c r="E110" t="s">
        <v>69</v>
      </c>
      <c r="F110" t="s">
        <v>93</v>
      </c>
      <c r="G110" t="s">
        <v>24</v>
      </c>
      <c r="H110" t="s">
        <v>25</v>
      </c>
      <c r="I110" t="s">
        <v>94</v>
      </c>
      <c r="J110">
        <v>87</v>
      </c>
      <c r="K110">
        <v>1025.57</v>
      </c>
      <c r="L110">
        <v>166.72</v>
      </c>
      <c r="M110">
        <v>0.16260000000000002</v>
      </c>
      <c r="N110">
        <v>64.39</v>
      </c>
      <c r="O110">
        <v>6.2800000000000009E-2</v>
      </c>
      <c r="P110">
        <v>1</v>
      </c>
      <c r="Q110">
        <v>0.39899999999999997</v>
      </c>
      <c r="R110">
        <v>8.7100000000000009</v>
      </c>
      <c r="S110">
        <v>84.06</v>
      </c>
      <c r="T110">
        <v>101.78</v>
      </c>
      <c r="U110">
        <v>18000</v>
      </c>
      <c r="V110">
        <v>1638000</v>
      </c>
    </row>
    <row r="111" spans="1:22" x14ac:dyDescent="0.25">
      <c r="A111" t="s">
        <v>74</v>
      </c>
      <c r="B111" t="s">
        <v>75</v>
      </c>
      <c r="C111" t="str">
        <f t="shared" si="2"/>
        <v>2024</v>
      </c>
      <c r="D111" t="str">
        <f t="shared" si="3"/>
        <v>07</v>
      </c>
      <c r="E111" t="s">
        <v>69</v>
      </c>
      <c r="F111" t="s">
        <v>93</v>
      </c>
      <c r="G111" t="s">
        <v>24</v>
      </c>
      <c r="H111" t="s">
        <v>25</v>
      </c>
      <c r="I111" t="s">
        <v>94</v>
      </c>
      <c r="J111">
        <v>87</v>
      </c>
      <c r="K111">
        <v>919.98</v>
      </c>
      <c r="L111">
        <v>153.94</v>
      </c>
      <c r="M111">
        <v>0.1673</v>
      </c>
      <c r="N111">
        <v>122</v>
      </c>
      <c r="O111">
        <v>0.1326</v>
      </c>
      <c r="P111">
        <v>0.85</v>
      </c>
      <c r="Q111">
        <v>0.21299999999999999</v>
      </c>
      <c r="R111">
        <v>1.45</v>
      </c>
      <c r="S111">
        <v>80.400000000000006</v>
      </c>
      <c r="T111">
        <v>93.98</v>
      </c>
      <c r="U111">
        <v>18000</v>
      </c>
      <c r="V111">
        <v>1638000</v>
      </c>
    </row>
    <row r="112" spans="1:22" x14ac:dyDescent="0.25">
      <c r="A112" t="s">
        <v>76</v>
      </c>
      <c r="B112" t="s">
        <v>77</v>
      </c>
      <c r="C112" t="str">
        <f t="shared" si="2"/>
        <v>2024</v>
      </c>
      <c r="D112" t="str">
        <f t="shared" si="3"/>
        <v>10</v>
      </c>
      <c r="E112" t="s">
        <v>69</v>
      </c>
      <c r="F112" t="s">
        <v>93</v>
      </c>
      <c r="G112" t="s">
        <v>24</v>
      </c>
      <c r="H112" t="s">
        <v>25</v>
      </c>
      <c r="I112" t="s">
        <v>94</v>
      </c>
      <c r="J112">
        <v>87</v>
      </c>
      <c r="K112">
        <v>945.07</v>
      </c>
      <c r="L112">
        <v>184.31</v>
      </c>
      <c r="M112">
        <v>0.19500000000000001</v>
      </c>
      <c r="N112">
        <v>97.32</v>
      </c>
      <c r="O112">
        <v>0.10300000000000001</v>
      </c>
      <c r="P112">
        <v>0.9</v>
      </c>
      <c r="Q112">
        <v>6.2E-2</v>
      </c>
      <c r="R112">
        <v>2.86</v>
      </c>
      <c r="S112">
        <v>94.78</v>
      </c>
      <c r="T112">
        <v>112.52</v>
      </c>
      <c r="U112">
        <v>18000</v>
      </c>
      <c r="V112">
        <v>1638000</v>
      </c>
    </row>
    <row r="113" spans="1:22" x14ac:dyDescent="0.25">
      <c r="A113" t="s">
        <v>78</v>
      </c>
      <c r="B113" t="s">
        <v>79</v>
      </c>
      <c r="C113" t="str">
        <f t="shared" si="2"/>
        <v>2025</v>
      </c>
      <c r="D113" t="str">
        <f t="shared" si="3"/>
        <v>01</v>
      </c>
      <c r="E113" t="s">
        <v>80</v>
      </c>
      <c r="F113" t="s">
        <v>93</v>
      </c>
      <c r="G113" t="s">
        <v>24</v>
      </c>
      <c r="H113" t="s">
        <v>25</v>
      </c>
      <c r="I113" t="s">
        <v>94</v>
      </c>
      <c r="J113">
        <v>87</v>
      </c>
      <c r="K113">
        <v>968.63</v>
      </c>
      <c r="L113">
        <v>166.32</v>
      </c>
      <c r="M113">
        <v>0.17170000000000002</v>
      </c>
      <c r="N113">
        <v>101.73</v>
      </c>
      <c r="O113">
        <v>0.105</v>
      </c>
      <c r="P113">
        <v>0.78</v>
      </c>
      <c r="Q113">
        <v>0.36099999999999999</v>
      </c>
      <c r="R113">
        <v>7.7</v>
      </c>
      <c r="S113">
        <v>85.13</v>
      </c>
      <c r="T113">
        <v>101.54</v>
      </c>
      <c r="U113">
        <v>18000</v>
      </c>
      <c r="V113">
        <v>1638000</v>
      </c>
    </row>
    <row r="114" spans="1:22" x14ac:dyDescent="0.25">
      <c r="A114" t="s">
        <v>81</v>
      </c>
      <c r="B114" t="s">
        <v>82</v>
      </c>
      <c r="C114" t="str">
        <f t="shared" si="2"/>
        <v>2025</v>
      </c>
      <c r="D114" t="str">
        <f t="shared" si="3"/>
        <v>04</v>
      </c>
      <c r="E114" t="s">
        <v>80</v>
      </c>
      <c r="F114" t="s">
        <v>93</v>
      </c>
      <c r="G114" t="s">
        <v>24</v>
      </c>
      <c r="H114" t="s">
        <v>25</v>
      </c>
      <c r="I114" t="s">
        <v>94</v>
      </c>
      <c r="J114">
        <v>87</v>
      </c>
      <c r="K114">
        <v>1020.05</v>
      </c>
      <c r="L114">
        <v>197.26</v>
      </c>
      <c r="M114">
        <v>0.19339999999999999</v>
      </c>
      <c r="N114">
        <v>103.28</v>
      </c>
      <c r="O114">
        <v>0.1012</v>
      </c>
      <c r="P114">
        <v>0.84</v>
      </c>
      <c r="Q114">
        <v>0.376</v>
      </c>
      <c r="R114">
        <v>25.08</v>
      </c>
      <c r="S114">
        <v>101.77</v>
      </c>
      <c r="T114">
        <v>120.43</v>
      </c>
      <c r="U114">
        <v>18000</v>
      </c>
      <c r="V114">
        <v>1638000</v>
      </c>
    </row>
    <row r="115" spans="1:22" x14ac:dyDescent="0.25">
      <c r="A115" t="s">
        <v>83</v>
      </c>
      <c r="B115" t="s">
        <v>84</v>
      </c>
      <c r="C115" t="str">
        <f t="shared" si="2"/>
        <v>2025</v>
      </c>
      <c r="D115" t="str">
        <f t="shared" si="3"/>
        <v>07</v>
      </c>
      <c r="E115" t="s">
        <v>80</v>
      </c>
      <c r="F115" t="s">
        <v>93</v>
      </c>
      <c r="G115" t="s">
        <v>24</v>
      </c>
      <c r="H115" t="s">
        <v>25</v>
      </c>
      <c r="I115" t="s">
        <v>94</v>
      </c>
      <c r="J115">
        <v>87</v>
      </c>
      <c r="K115">
        <v>1001.92</v>
      </c>
      <c r="L115">
        <v>183.82</v>
      </c>
      <c r="M115">
        <v>0.18350000000000002</v>
      </c>
      <c r="N115">
        <v>42.94</v>
      </c>
      <c r="O115">
        <v>4.2900000000000001E-2</v>
      </c>
      <c r="P115">
        <v>0.9</v>
      </c>
      <c r="Q115">
        <v>0.09</v>
      </c>
      <c r="R115">
        <v>4.08</v>
      </c>
      <c r="S115">
        <v>93.24</v>
      </c>
      <c r="T115">
        <v>112.22</v>
      </c>
      <c r="U115">
        <v>18000</v>
      </c>
      <c r="V115">
        <v>1638000</v>
      </c>
    </row>
    <row r="116" spans="1:22" x14ac:dyDescent="0.25">
      <c r="A116" t="s">
        <v>85</v>
      </c>
      <c r="B116" t="s">
        <v>86</v>
      </c>
      <c r="C116" t="str">
        <f t="shared" si="2"/>
        <v>2025</v>
      </c>
      <c r="D116" t="str">
        <f t="shared" si="3"/>
        <v>10</v>
      </c>
      <c r="E116" t="s">
        <v>80</v>
      </c>
      <c r="F116" t="s">
        <v>93</v>
      </c>
      <c r="G116" t="s">
        <v>24</v>
      </c>
      <c r="H116" t="s">
        <v>25</v>
      </c>
      <c r="I116" t="s">
        <v>94</v>
      </c>
      <c r="J116">
        <v>87</v>
      </c>
      <c r="K116">
        <v>919.92</v>
      </c>
      <c r="L116">
        <v>182.92</v>
      </c>
      <c r="M116">
        <v>0.19879999999999998</v>
      </c>
      <c r="N116">
        <v>54.51</v>
      </c>
      <c r="O116">
        <v>5.9299999999999999E-2</v>
      </c>
      <c r="P116">
        <v>0.8</v>
      </c>
      <c r="Q116">
        <v>0.35700000000000004</v>
      </c>
      <c r="R116">
        <v>15.72</v>
      </c>
      <c r="S116">
        <v>99.34</v>
      </c>
      <c r="T116">
        <v>111.67</v>
      </c>
      <c r="U116">
        <v>18000</v>
      </c>
      <c r="V116">
        <v>1638000</v>
      </c>
    </row>
    <row r="117" spans="1:22" x14ac:dyDescent="0.25">
      <c r="A117" t="s">
        <v>87</v>
      </c>
      <c r="B117" t="s">
        <v>88</v>
      </c>
      <c r="C117" t="str">
        <f t="shared" si="2"/>
        <v>2026</v>
      </c>
      <c r="D117" t="str">
        <f t="shared" si="3"/>
        <v>01</v>
      </c>
      <c r="E117" t="s">
        <v>89</v>
      </c>
      <c r="F117" t="s">
        <v>93</v>
      </c>
      <c r="G117" t="s">
        <v>24</v>
      </c>
      <c r="H117" t="s">
        <v>25</v>
      </c>
      <c r="I117" t="s">
        <v>94</v>
      </c>
      <c r="J117">
        <v>87</v>
      </c>
      <c r="K117">
        <v>482.38</v>
      </c>
      <c r="L117">
        <v>240.46</v>
      </c>
      <c r="M117">
        <v>0.4985</v>
      </c>
      <c r="N117">
        <v>-54.1</v>
      </c>
      <c r="O117">
        <v>-0.11220000000000001</v>
      </c>
      <c r="P117">
        <v>0.47</v>
      </c>
      <c r="Q117">
        <v>0.27399999999999997</v>
      </c>
      <c r="R117">
        <v>41.58</v>
      </c>
      <c r="S117">
        <v>130.88</v>
      </c>
      <c r="T117">
        <v>146.80000000000001</v>
      </c>
      <c r="U117">
        <v>18000</v>
      </c>
      <c r="V117">
        <v>1638000</v>
      </c>
    </row>
    <row r="118" spans="1:22" x14ac:dyDescent="0.25">
      <c r="A118" t="s">
        <v>20</v>
      </c>
      <c r="B118" t="s">
        <v>21</v>
      </c>
      <c r="C118" t="str">
        <f t="shared" si="2"/>
        <v>2019</v>
      </c>
      <c r="D118" t="str">
        <f t="shared" si="3"/>
        <v>01</v>
      </c>
      <c r="E118" t="s">
        <v>22</v>
      </c>
      <c r="F118" t="s">
        <v>95</v>
      </c>
      <c r="G118" t="s">
        <v>24</v>
      </c>
      <c r="H118" t="s">
        <v>25</v>
      </c>
      <c r="I118" t="s">
        <v>94</v>
      </c>
      <c r="J118">
        <v>65</v>
      </c>
      <c r="K118">
        <v>422.41</v>
      </c>
      <c r="L118">
        <v>81.44</v>
      </c>
      <c r="M118">
        <v>0.1928</v>
      </c>
      <c r="N118">
        <v>54.99</v>
      </c>
      <c r="O118">
        <v>0.13019999999999998</v>
      </c>
      <c r="P118">
        <v>0.69</v>
      </c>
      <c r="Q118">
        <v>0.28100000000000003</v>
      </c>
      <c r="R118">
        <v>0</v>
      </c>
      <c r="S118">
        <v>63</v>
      </c>
      <c r="T118">
        <v>74.58</v>
      </c>
      <c r="U118">
        <v>12000</v>
      </c>
      <c r="V118">
        <v>1092000</v>
      </c>
    </row>
    <row r="119" spans="1:22" x14ac:dyDescent="0.25">
      <c r="A119" t="s">
        <v>27</v>
      </c>
      <c r="B119" t="s">
        <v>28</v>
      </c>
      <c r="C119" t="str">
        <f t="shared" si="2"/>
        <v>2019</v>
      </c>
      <c r="D119" t="str">
        <f t="shared" si="3"/>
        <v>04</v>
      </c>
      <c r="E119" t="s">
        <v>22</v>
      </c>
      <c r="F119" t="s">
        <v>95</v>
      </c>
      <c r="G119" t="s">
        <v>24</v>
      </c>
      <c r="H119" t="s">
        <v>25</v>
      </c>
      <c r="I119" t="s">
        <v>94</v>
      </c>
      <c r="J119">
        <v>65</v>
      </c>
      <c r="K119">
        <v>380.93</v>
      </c>
      <c r="L119">
        <v>80.09</v>
      </c>
      <c r="M119">
        <v>0.2102</v>
      </c>
      <c r="N119">
        <v>35</v>
      </c>
      <c r="O119">
        <v>9.1899999999999996E-2</v>
      </c>
      <c r="P119">
        <v>0.6</v>
      </c>
      <c r="Q119">
        <v>0.23300000000000001</v>
      </c>
      <c r="R119">
        <v>0</v>
      </c>
      <c r="S119">
        <v>64.790000000000006</v>
      </c>
      <c r="T119">
        <v>73.34</v>
      </c>
      <c r="U119">
        <v>12000</v>
      </c>
      <c r="V119">
        <v>1092000</v>
      </c>
    </row>
    <row r="120" spans="1:22" x14ac:dyDescent="0.25">
      <c r="A120" t="s">
        <v>29</v>
      </c>
      <c r="B120" t="s">
        <v>30</v>
      </c>
      <c r="C120" t="str">
        <f t="shared" si="2"/>
        <v>2019</v>
      </c>
      <c r="D120" t="str">
        <f t="shared" si="3"/>
        <v>07</v>
      </c>
      <c r="E120" t="s">
        <v>22</v>
      </c>
      <c r="F120" t="s">
        <v>95</v>
      </c>
      <c r="G120" t="s">
        <v>24</v>
      </c>
      <c r="H120" t="s">
        <v>25</v>
      </c>
      <c r="I120" t="s">
        <v>94</v>
      </c>
      <c r="J120">
        <v>65</v>
      </c>
      <c r="K120">
        <v>402.49</v>
      </c>
      <c r="L120">
        <v>77.650000000000006</v>
      </c>
      <c r="M120">
        <v>0.19289999999999999</v>
      </c>
      <c r="N120">
        <v>52.59</v>
      </c>
      <c r="O120">
        <v>0.13070000000000001</v>
      </c>
      <c r="P120">
        <v>0.68</v>
      </c>
      <c r="Q120">
        <v>9.4E-2</v>
      </c>
      <c r="R120">
        <v>0</v>
      </c>
      <c r="S120">
        <v>60.46</v>
      </c>
      <c r="T120">
        <v>71.11</v>
      </c>
      <c r="U120">
        <v>12000</v>
      </c>
      <c r="V120">
        <v>1092000</v>
      </c>
    </row>
    <row r="121" spans="1:22" x14ac:dyDescent="0.25">
      <c r="A121" t="s">
        <v>31</v>
      </c>
      <c r="B121" t="s">
        <v>32</v>
      </c>
      <c r="C121" t="str">
        <f t="shared" si="2"/>
        <v>2019</v>
      </c>
      <c r="D121" t="str">
        <f t="shared" si="3"/>
        <v>10</v>
      </c>
      <c r="E121" t="s">
        <v>22</v>
      </c>
      <c r="F121" t="s">
        <v>95</v>
      </c>
      <c r="G121" t="s">
        <v>24</v>
      </c>
      <c r="H121" t="s">
        <v>25</v>
      </c>
      <c r="I121" t="s">
        <v>94</v>
      </c>
      <c r="J121">
        <v>65</v>
      </c>
      <c r="K121">
        <v>407.71</v>
      </c>
      <c r="L121">
        <v>84.05</v>
      </c>
      <c r="M121">
        <v>0.20620000000000002</v>
      </c>
      <c r="N121">
        <v>55.43</v>
      </c>
      <c r="O121">
        <v>0.13600000000000001</v>
      </c>
      <c r="P121">
        <v>0.66</v>
      </c>
      <c r="Q121">
        <v>0.33100000000000002</v>
      </c>
      <c r="R121">
        <v>0</v>
      </c>
      <c r="S121">
        <v>65.66</v>
      </c>
      <c r="T121">
        <v>76.97</v>
      </c>
      <c r="U121">
        <v>12000</v>
      </c>
      <c r="V121">
        <v>1092000</v>
      </c>
    </row>
    <row r="122" spans="1:22" x14ac:dyDescent="0.25">
      <c r="A122" t="s">
        <v>33</v>
      </c>
      <c r="B122" t="s">
        <v>34</v>
      </c>
      <c r="C122" t="str">
        <f t="shared" si="2"/>
        <v>2020</v>
      </c>
      <c r="D122" t="str">
        <f t="shared" si="3"/>
        <v>01</v>
      </c>
      <c r="E122" t="s">
        <v>22</v>
      </c>
      <c r="F122" t="s">
        <v>95</v>
      </c>
      <c r="G122" t="s">
        <v>24</v>
      </c>
      <c r="H122" t="s">
        <v>25</v>
      </c>
      <c r="I122" t="s">
        <v>94</v>
      </c>
      <c r="J122">
        <v>65</v>
      </c>
      <c r="K122">
        <v>399.41</v>
      </c>
      <c r="L122">
        <v>82.31</v>
      </c>
      <c r="M122">
        <v>0.20610000000000001</v>
      </c>
      <c r="N122">
        <v>31.04</v>
      </c>
      <c r="O122">
        <v>7.7699999999999991E-2</v>
      </c>
      <c r="P122">
        <v>0.61</v>
      </c>
      <c r="Q122">
        <v>5.7999999999999996E-2</v>
      </c>
      <c r="R122">
        <v>0</v>
      </c>
      <c r="S122">
        <v>66.66</v>
      </c>
      <c r="T122">
        <v>75.38</v>
      </c>
      <c r="U122">
        <v>12000</v>
      </c>
      <c r="V122">
        <v>1092000</v>
      </c>
    </row>
    <row r="123" spans="1:22" x14ac:dyDescent="0.25">
      <c r="A123" t="s">
        <v>35</v>
      </c>
      <c r="B123" t="s">
        <v>36</v>
      </c>
      <c r="C123" t="str">
        <f t="shared" si="2"/>
        <v>2020</v>
      </c>
      <c r="D123" t="str">
        <f t="shared" si="3"/>
        <v>04</v>
      </c>
      <c r="E123" t="s">
        <v>37</v>
      </c>
      <c r="F123" t="s">
        <v>95</v>
      </c>
      <c r="G123" t="s">
        <v>24</v>
      </c>
      <c r="H123" t="s">
        <v>25</v>
      </c>
      <c r="I123" t="s">
        <v>94</v>
      </c>
      <c r="J123">
        <v>65</v>
      </c>
      <c r="K123">
        <v>133.99</v>
      </c>
      <c r="L123">
        <v>25.87</v>
      </c>
      <c r="M123">
        <v>0.19309999999999999</v>
      </c>
      <c r="N123">
        <v>-48.58</v>
      </c>
      <c r="O123">
        <v>-0.36259999999999998</v>
      </c>
      <c r="P123">
        <v>0.21</v>
      </c>
      <c r="Q123">
        <v>0.316</v>
      </c>
      <c r="R123">
        <v>0</v>
      </c>
      <c r="S123">
        <v>20.57</v>
      </c>
      <c r="T123">
        <v>23.69</v>
      </c>
      <c r="U123">
        <v>12000</v>
      </c>
      <c r="V123">
        <v>1092000</v>
      </c>
    </row>
    <row r="124" spans="1:22" x14ac:dyDescent="0.25">
      <c r="A124" t="s">
        <v>38</v>
      </c>
      <c r="B124" t="s">
        <v>39</v>
      </c>
      <c r="C124" t="str">
        <f t="shared" si="2"/>
        <v>2020</v>
      </c>
      <c r="D124" t="str">
        <f t="shared" si="3"/>
        <v>07</v>
      </c>
      <c r="E124" t="s">
        <v>37</v>
      </c>
      <c r="F124" t="s">
        <v>95</v>
      </c>
      <c r="G124" t="s">
        <v>24</v>
      </c>
      <c r="H124" t="s">
        <v>25</v>
      </c>
      <c r="I124" t="s">
        <v>94</v>
      </c>
      <c r="J124">
        <v>65</v>
      </c>
      <c r="K124">
        <v>102.15</v>
      </c>
      <c r="L124">
        <v>55.07</v>
      </c>
      <c r="M124">
        <v>0.53909999999999991</v>
      </c>
      <c r="N124">
        <v>-36.72</v>
      </c>
      <c r="O124">
        <v>-0.35950000000000004</v>
      </c>
      <c r="P124">
        <v>0.17</v>
      </c>
      <c r="Q124">
        <v>0.33899999999999997</v>
      </c>
      <c r="R124">
        <v>0</v>
      </c>
      <c r="S124">
        <v>44.05</v>
      </c>
      <c r="T124">
        <v>50.43</v>
      </c>
      <c r="U124">
        <v>12000</v>
      </c>
      <c r="V124">
        <v>1092000</v>
      </c>
    </row>
    <row r="125" spans="1:22" x14ac:dyDescent="0.25">
      <c r="A125" t="s">
        <v>40</v>
      </c>
      <c r="B125" t="s">
        <v>41</v>
      </c>
      <c r="C125" t="str">
        <f t="shared" si="2"/>
        <v>2020</v>
      </c>
      <c r="D125" t="str">
        <f t="shared" si="3"/>
        <v>10</v>
      </c>
      <c r="E125" t="s">
        <v>37</v>
      </c>
      <c r="F125" t="s">
        <v>95</v>
      </c>
      <c r="G125" t="s">
        <v>24</v>
      </c>
      <c r="H125" t="s">
        <v>25</v>
      </c>
      <c r="I125" t="s">
        <v>94</v>
      </c>
      <c r="J125">
        <v>65</v>
      </c>
      <c r="K125">
        <v>138.13999999999999</v>
      </c>
      <c r="L125">
        <v>49.86</v>
      </c>
      <c r="M125">
        <v>0.36090000000000005</v>
      </c>
      <c r="N125">
        <v>-40.03</v>
      </c>
      <c r="O125">
        <v>-0.28970000000000001</v>
      </c>
      <c r="P125">
        <v>0.23</v>
      </c>
      <c r="Q125">
        <v>0.16399999999999998</v>
      </c>
      <c r="R125">
        <v>0</v>
      </c>
      <c r="S125">
        <v>39.950000000000003</v>
      </c>
      <c r="T125">
        <v>45.66</v>
      </c>
      <c r="U125">
        <v>12000</v>
      </c>
      <c r="V125">
        <v>1092000</v>
      </c>
    </row>
    <row r="126" spans="1:22" x14ac:dyDescent="0.25">
      <c r="A126" t="s">
        <v>42</v>
      </c>
      <c r="B126" t="s">
        <v>43</v>
      </c>
      <c r="C126" t="str">
        <f t="shared" si="2"/>
        <v>2021</v>
      </c>
      <c r="D126" t="str">
        <f t="shared" si="3"/>
        <v>01</v>
      </c>
      <c r="E126" t="s">
        <v>37</v>
      </c>
      <c r="F126" t="s">
        <v>95</v>
      </c>
      <c r="G126" t="s">
        <v>24</v>
      </c>
      <c r="H126" t="s">
        <v>25</v>
      </c>
      <c r="I126" t="s">
        <v>94</v>
      </c>
      <c r="J126">
        <v>65</v>
      </c>
      <c r="K126">
        <v>67.97</v>
      </c>
      <c r="L126">
        <v>93.66</v>
      </c>
      <c r="M126">
        <v>1.3780000000000001</v>
      </c>
      <c r="N126">
        <v>-28.79</v>
      </c>
      <c r="O126">
        <v>-0.42349999999999999</v>
      </c>
      <c r="P126">
        <v>0.11</v>
      </c>
      <c r="Q126">
        <v>0.09</v>
      </c>
      <c r="R126">
        <v>0</v>
      </c>
      <c r="S126">
        <v>75.489999999999995</v>
      </c>
      <c r="T126">
        <v>85.77</v>
      </c>
      <c r="U126">
        <v>12000</v>
      </c>
      <c r="V126">
        <v>1092000</v>
      </c>
    </row>
    <row r="127" spans="1:22" x14ac:dyDescent="0.25">
      <c r="A127" t="s">
        <v>44</v>
      </c>
      <c r="B127" t="s">
        <v>45</v>
      </c>
      <c r="C127" t="str">
        <f t="shared" si="2"/>
        <v>2021</v>
      </c>
      <c r="D127" t="str">
        <f t="shared" si="3"/>
        <v>04</v>
      </c>
      <c r="E127" t="s">
        <v>37</v>
      </c>
      <c r="F127" t="s">
        <v>95</v>
      </c>
      <c r="G127" t="s">
        <v>24</v>
      </c>
      <c r="H127" t="s">
        <v>25</v>
      </c>
      <c r="I127" t="s">
        <v>94</v>
      </c>
      <c r="J127">
        <v>65</v>
      </c>
      <c r="K127">
        <v>132.53</v>
      </c>
      <c r="L127">
        <v>99.28</v>
      </c>
      <c r="M127">
        <v>0.74909999999999999</v>
      </c>
      <c r="N127">
        <v>-36.32</v>
      </c>
      <c r="O127">
        <v>-0.27399999999999997</v>
      </c>
      <c r="P127">
        <v>0.2</v>
      </c>
      <c r="Q127">
        <v>0.14800000000000002</v>
      </c>
      <c r="R127">
        <v>0.15</v>
      </c>
      <c r="S127">
        <v>76.83</v>
      </c>
      <c r="T127">
        <v>90.92</v>
      </c>
      <c r="U127">
        <v>12000</v>
      </c>
      <c r="V127">
        <v>1092000</v>
      </c>
    </row>
    <row r="128" spans="1:22" x14ac:dyDescent="0.25">
      <c r="A128" t="s">
        <v>46</v>
      </c>
      <c r="B128" t="s">
        <v>47</v>
      </c>
      <c r="C128" t="str">
        <f t="shared" si="2"/>
        <v>2021</v>
      </c>
      <c r="D128" t="str">
        <f t="shared" si="3"/>
        <v>07</v>
      </c>
      <c r="E128" t="s">
        <v>48</v>
      </c>
      <c r="F128" t="s">
        <v>95</v>
      </c>
      <c r="G128" t="s">
        <v>24</v>
      </c>
      <c r="H128" t="s">
        <v>25</v>
      </c>
      <c r="I128" t="s">
        <v>94</v>
      </c>
      <c r="J128">
        <v>65</v>
      </c>
      <c r="K128">
        <v>316.8</v>
      </c>
      <c r="L128">
        <v>98.19</v>
      </c>
      <c r="M128">
        <v>0.31</v>
      </c>
      <c r="N128">
        <v>18.100000000000001</v>
      </c>
      <c r="O128">
        <v>5.7099999999999998E-2</v>
      </c>
      <c r="P128">
        <v>0.53</v>
      </c>
      <c r="Q128">
        <v>0.26</v>
      </c>
      <c r="R128">
        <v>0</v>
      </c>
      <c r="S128">
        <v>78.97</v>
      </c>
      <c r="T128">
        <v>89.92</v>
      </c>
      <c r="U128">
        <v>12000</v>
      </c>
      <c r="V128">
        <v>1092000</v>
      </c>
    </row>
    <row r="129" spans="1:22" x14ac:dyDescent="0.25">
      <c r="A129" t="s">
        <v>49</v>
      </c>
      <c r="B129" t="s">
        <v>50</v>
      </c>
      <c r="C129" t="str">
        <f t="shared" si="2"/>
        <v>2021</v>
      </c>
      <c r="D129" t="str">
        <f t="shared" si="3"/>
        <v>10</v>
      </c>
      <c r="E129" t="s">
        <v>48</v>
      </c>
      <c r="F129" t="s">
        <v>95</v>
      </c>
      <c r="G129" t="s">
        <v>24</v>
      </c>
      <c r="H129" t="s">
        <v>25</v>
      </c>
      <c r="I129" t="s">
        <v>94</v>
      </c>
      <c r="J129">
        <v>65</v>
      </c>
      <c r="K129">
        <v>272.42</v>
      </c>
      <c r="L129">
        <v>113.84</v>
      </c>
      <c r="M129">
        <v>0.41789999999999999</v>
      </c>
      <c r="N129">
        <v>15.36</v>
      </c>
      <c r="O129">
        <v>5.6399999999999999E-2</v>
      </c>
      <c r="P129">
        <v>0.45</v>
      </c>
      <c r="Q129">
        <v>0.34200000000000003</v>
      </c>
      <c r="R129">
        <v>6.16</v>
      </c>
      <c r="S129">
        <v>86.82</v>
      </c>
      <c r="T129">
        <v>104.25</v>
      </c>
      <c r="U129">
        <v>12000</v>
      </c>
      <c r="V129">
        <v>1092000</v>
      </c>
    </row>
    <row r="130" spans="1:22" x14ac:dyDescent="0.25">
      <c r="A130" t="s">
        <v>51</v>
      </c>
      <c r="B130" t="s">
        <v>52</v>
      </c>
      <c r="C130" t="str">
        <f t="shared" si="2"/>
        <v>2022</v>
      </c>
      <c r="D130" t="str">
        <f t="shared" si="3"/>
        <v>01</v>
      </c>
      <c r="E130" t="s">
        <v>48</v>
      </c>
      <c r="F130" t="s">
        <v>95</v>
      </c>
      <c r="G130" t="s">
        <v>24</v>
      </c>
      <c r="H130" t="s">
        <v>25</v>
      </c>
      <c r="I130" t="s">
        <v>94</v>
      </c>
      <c r="J130">
        <v>65</v>
      </c>
      <c r="K130">
        <v>272.61</v>
      </c>
      <c r="L130">
        <v>88.93</v>
      </c>
      <c r="M130">
        <v>0.32619999999999999</v>
      </c>
      <c r="N130">
        <v>10.62</v>
      </c>
      <c r="O130">
        <v>3.9E-2</v>
      </c>
      <c r="P130">
        <v>0.47</v>
      </c>
      <c r="Q130">
        <v>0.14000000000000001</v>
      </c>
      <c r="R130">
        <v>0</v>
      </c>
      <c r="S130">
        <v>72.010000000000005</v>
      </c>
      <c r="T130">
        <v>81.44</v>
      </c>
      <c r="U130">
        <v>12000</v>
      </c>
      <c r="V130">
        <v>1092000</v>
      </c>
    </row>
    <row r="131" spans="1:22" x14ac:dyDescent="0.25">
      <c r="A131" t="s">
        <v>53</v>
      </c>
      <c r="B131" t="s">
        <v>54</v>
      </c>
      <c r="C131" t="str">
        <f t="shared" ref="C131:C194" si="4">LEFT(B131,4)</f>
        <v>2022</v>
      </c>
      <c r="D131" t="str">
        <f t="shared" ref="D131:D194" si="5">RIGHT(B131,2)</f>
        <v>04</v>
      </c>
      <c r="E131" t="s">
        <v>55</v>
      </c>
      <c r="F131" t="s">
        <v>95</v>
      </c>
      <c r="G131" t="s">
        <v>24</v>
      </c>
      <c r="H131" t="s">
        <v>25</v>
      </c>
      <c r="I131" t="s">
        <v>94</v>
      </c>
      <c r="J131">
        <v>65</v>
      </c>
      <c r="K131">
        <v>417.34</v>
      </c>
      <c r="L131">
        <v>143.74</v>
      </c>
      <c r="M131">
        <v>0.34439999999999998</v>
      </c>
      <c r="N131">
        <v>16.989999999999998</v>
      </c>
      <c r="O131">
        <v>4.07E-2</v>
      </c>
      <c r="P131">
        <v>0.63</v>
      </c>
      <c r="Q131">
        <v>0.22</v>
      </c>
      <c r="R131">
        <v>14.63</v>
      </c>
      <c r="S131">
        <v>109.53</v>
      </c>
      <c r="T131">
        <v>131.63</v>
      </c>
      <c r="U131">
        <v>12000</v>
      </c>
      <c r="V131">
        <v>1092000</v>
      </c>
    </row>
    <row r="132" spans="1:22" x14ac:dyDescent="0.25">
      <c r="A132" t="s">
        <v>56</v>
      </c>
      <c r="B132" t="s">
        <v>57</v>
      </c>
      <c r="C132" t="str">
        <f t="shared" si="4"/>
        <v>2022</v>
      </c>
      <c r="D132" t="str">
        <f t="shared" si="5"/>
        <v>07</v>
      </c>
      <c r="E132" t="s">
        <v>55</v>
      </c>
      <c r="F132" t="s">
        <v>95</v>
      </c>
      <c r="G132" t="s">
        <v>24</v>
      </c>
      <c r="H132" t="s">
        <v>25</v>
      </c>
      <c r="I132" t="s">
        <v>94</v>
      </c>
      <c r="J132">
        <v>65</v>
      </c>
      <c r="K132">
        <v>431.6</v>
      </c>
      <c r="L132">
        <v>103.18</v>
      </c>
      <c r="M132">
        <v>0.23910000000000001</v>
      </c>
      <c r="N132">
        <v>9.9700000000000006</v>
      </c>
      <c r="O132">
        <v>2.3099999999999999E-2</v>
      </c>
      <c r="P132">
        <v>0.75</v>
      </c>
      <c r="Q132">
        <v>0.32</v>
      </c>
      <c r="R132">
        <v>1.65</v>
      </c>
      <c r="S132">
        <v>80.69</v>
      </c>
      <c r="T132">
        <v>94.49</v>
      </c>
      <c r="U132">
        <v>12000</v>
      </c>
      <c r="V132">
        <v>1092000</v>
      </c>
    </row>
    <row r="133" spans="1:22" x14ac:dyDescent="0.25">
      <c r="A133" t="s">
        <v>58</v>
      </c>
      <c r="B133" t="s">
        <v>59</v>
      </c>
      <c r="C133" t="str">
        <f t="shared" si="4"/>
        <v>2022</v>
      </c>
      <c r="D133" t="str">
        <f t="shared" si="5"/>
        <v>10</v>
      </c>
      <c r="E133" t="s">
        <v>55</v>
      </c>
      <c r="F133" t="s">
        <v>95</v>
      </c>
      <c r="G133" t="s">
        <v>24</v>
      </c>
      <c r="H133" t="s">
        <v>25</v>
      </c>
      <c r="I133" t="s">
        <v>94</v>
      </c>
      <c r="J133">
        <v>65</v>
      </c>
      <c r="K133">
        <v>388.78</v>
      </c>
      <c r="L133">
        <v>115.27</v>
      </c>
      <c r="M133">
        <v>0.29649999999999999</v>
      </c>
      <c r="N133">
        <v>18.79</v>
      </c>
      <c r="O133">
        <v>4.8300000000000003E-2</v>
      </c>
      <c r="P133">
        <v>0.61</v>
      </c>
      <c r="Q133">
        <v>0.35600000000000004</v>
      </c>
      <c r="R133">
        <v>7.09</v>
      </c>
      <c r="S133">
        <v>93.25</v>
      </c>
      <c r="T133">
        <v>105.56</v>
      </c>
      <c r="U133">
        <v>12000</v>
      </c>
      <c r="V133">
        <v>1092000</v>
      </c>
    </row>
    <row r="134" spans="1:22" x14ac:dyDescent="0.25">
      <c r="A134" t="s">
        <v>60</v>
      </c>
      <c r="B134" t="s">
        <v>61</v>
      </c>
      <c r="C134" t="str">
        <f t="shared" si="4"/>
        <v>2023</v>
      </c>
      <c r="D134" t="str">
        <f t="shared" si="5"/>
        <v>01</v>
      </c>
      <c r="E134" t="s">
        <v>62</v>
      </c>
      <c r="F134" t="s">
        <v>95</v>
      </c>
      <c r="G134" t="s">
        <v>24</v>
      </c>
      <c r="H134" t="s">
        <v>25</v>
      </c>
      <c r="I134" t="s">
        <v>94</v>
      </c>
      <c r="J134">
        <v>65</v>
      </c>
      <c r="K134">
        <v>380.93</v>
      </c>
      <c r="L134">
        <v>106.07</v>
      </c>
      <c r="M134">
        <v>0.27839999999999998</v>
      </c>
      <c r="N134">
        <v>36.119999999999997</v>
      </c>
      <c r="O134">
        <v>9.4800000000000009E-2</v>
      </c>
      <c r="P134">
        <v>0.55000000000000004</v>
      </c>
      <c r="Q134">
        <v>0.09</v>
      </c>
      <c r="R134">
        <v>0.76</v>
      </c>
      <c r="S134">
        <v>84.29</v>
      </c>
      <c r="T134">
        <v>97.13</v>
      </c>
      <c r="U134">
        <v>12000</v>
      </c>
      <c r="V134">
        <v>1092000</v>
      </c>
    </row>
    <row r="135" spans="1:22" x14ac:dyDescent="0.25">
      <c r="A135" t="s">
        <v>63</v>
      </c>
      <c r="B135" t="s">
        <v>64</v>
      </c>
      <c r="C135" t="str">
        <f t="shared" si="4"/>
        <v>2023</v>
      </c>
      <c r="D135" t="str">
        <f t="shared" si="5"/>
        <v>04</v>
      </c>
      <c r="E135" t="s">
        <v>62</v>
      </c>
      <c r="F135" t="s">
        <v>95</v>
      </c>
      <c r="G135" t="s">
        <v>24</v>
      </c>
      <c r="H135" t="s">
        <v>25</v>
      </c>
      <c r="I135" t="s">
        <v>94</v>
      </c>
      <c r="J135">
        <v>65</v>
      </c>
      <c r="K135">
        <v>415.91</v>
      </c>
      <c r="L135">
        <v>111.35</v>
      </c>
      <c r="M135">
        <v>0.26769999999999999</v>
      </c>
      <c r="N135">
        <v>26.38</v>
      </c>
      <c r="O135">
        <v>6.3399999999999998E-2</v>
      </c>
      <c r="P135">
        <v>0.6</v>
      </c>
      <c r="Q135">
        <v>0.107</v>
      </c>
      <c r="R135">
        <v>1.58</v>
      </c>
      <c r="S135">
        <v>88.18</v>
      </c>
      <c r="T135">
        <v>101.97</v>
      </c>
      <c r="U135">
        <v>12000</v>
      </c>
      <c r="V135">
        <v>1092000</v>
      </c>
    </row>
    <row r="136" spans="1:22" x14ac:dyDescent="0.25">
      <c r="A136" t="s">
        <v>65</v>
      </c>
      <c r="B136" t="s">
        <v>66</v>
      </c>
      <c r="C136" t="str">
        <f t="shared" si="4"/>
        <v>2023</v>
      </c>
      <c r="D136" t="str">
        <f t="shared" si="5"/>
        <v>07</v>
      </c>
      <c r="E136" t="s">
        <v>62</v>
      </c>
      <c r="F136" t="s">
        <v>95</v>
      </c>
      <c r="G136" t="s">
        <v>24</v>
      </c>
      <c r="H136" t="s">
        <v>25</v>
      </c>
      <c r="I136" t="s">
        <v>94</v>
      </c>
      <c r="J136">
        <v>65</v>
      </c>
      <c r="K136">
        <v>390.85</v>
      </c>
      <c r="L136">
        <v>106.49</v>
      </c>
      <c r="M136">
        <v>0.27250000000000002</v>
      </c>
      <c r="N136">
        <v>45.72</v>
      </c>
      <c r="O136">
        <v>0.11699999999999999</v>
      </c>
      <c r="P136">
        <v>0.63</v>
      </c>
      <c r="Q136">
        <v>0.307</v>
      </c>
      <c r="R136">
        <v>2.73</v>
      </c>
      <c r="S136">
        <v>85.16</v>
      </c>
      <c r="T136">
        <v>97.52</v>
      </c>
      <c r="U136">
        <v>12000</v>
      </c>
      <c r="V136">
        <v>1092000</v>
      </c>
    </row>
    <row r="137" spans="1:22" x14ac:dyDescent="0.25">
      <c r="A137" t="s">
        <v>67</v>
      </c>
      <c r="B137" t="s">
        <v>68</v>
      </c>
      <c r="C137" t="str">
        <f t="shared" si="4"/>
        <v>2023</v>
      </c>
      <c r="D137" t="str">
        <f t="shared" si="5"/>
        <v>10</v>
      </c>
      <c r="E137" t="s">
        <v>69</v>
      </c>
      <c r="F137" t="s">
        <v>95</v>
      </c>
      <c r="G137" t="s">
        <v>24</v>
      </c>
      <c r="H137" t="s">
        <v>25</v>
      </c>
      <c r="I137" t="s">
        <v>94</v>
      </c>
      <c r="J137">
        <v>65</v>
      </c>
      <c r="K137">
        <v>399.23</v>
      </c>
      <c r="L137">
        <v>98.24</v>
      </c>
      <c r="M137">
        <v>0.24609999999999999</v>
      </c>
      <c r="N137">
        <v>20.49</v>
      </c>
      <c r="O137">
        <v>5.1299999999999998E-2</v>
      </c>
      <c r="P137">
        <v>0.67</v>
      </c>
      <c r="Q137">
        <v>9.9000000000000005E-2</v>
      </c>
      <c r="R137">
        <v>0</v>
      </c>
      <c r="S137">
        <v>78.33</v>
      </c>
      <c r="T137">
        <v>89.96</v>
      </c>
      <c r="U137">
        <v>12000</v>
      </c>
      <c r="V137">
        <v>1092000</v>
      </c>
    </row>
    <row r="138" spans="1:22" x14ac:dyDescent="0.25">
      <c r="A138" t="s">
        <v>70</v>
      </c>
      <c r="B138" t="s">
        <v>71</v>
      </c>
      <c r="C138" t="str">
        <f t="shared" si="4"/>
        <v>2024</v>
      </c>
      <c r="D138" t="str">
        <f t="shared" si="5"/>
        <v>01</v>
      </c>
      <c r="E138" t="s">
        <v>69</v>
      </c>
      <c r="F138" t="s">
        <v>95</v>
      </c>
      <c r="G138" t="s">
        <v>24</v>
      </c>
      <c r="H138" t="s">
        <v>25</v>
      </c>
      <c r="I138" t="s">
        <v>94</v>
      </c>
      <c r="J138">
        <v>65</v>
      </c>
      <c r="K138">
        <v>399.9</v>
      </c>
      <c r="L138">
        <v>108.13</v>
      </c>
      <c r="M138">
        <v>0.27039999999999997</v>
      </c>
      <c r="N138">
        <v>26.48</v>
      </c>
      <c r="O138">
        <v>6.6199999999999995E-2</v>
      </c>
      <c r="P138">
        <v>0.6</v>
      </c>
      <c r="Q138">
        <v>0.26100000000000001</v>
      </c>
      <c r="R138">
        <v>2.83</v>
      </c>
      <c r="S138">
        <v>84.61</v>
      </c>
      <c r="T138">
        <v>99.02</v>
      </c>
      <c r="U138">
        <v>12000</v>
      </c>
      <c r="V138">
        <v>1092000</v>
      </c>
    </row>
    <row r="139" spans="1:22" x14ac:dyDescent="0.25">
      <c r="A139" t="s">
        <v>72</v>
      </c>
      <c r="B139" t="s">
        <v>73</v>
      </c>
      <c r="C139" t="str">
        <f t="shared" si="4"/>
        <v>2024</v>
      </c>
      <c r="D139" t="str">
        <f t="shared" si="5"/>
        <v>04</v>
      </c>
      <c r="E139" t="s">
        <v>69</v>
      </c>
      <c r="F139" t="s">
        <v>95</v>
      </c>
      <c r="G139" t="s">
        <v>24</v>
      </c>
      <c r="H139" t="s">
        <v>25</v>
      </c>
      <c r="I139" t="s">
        <v>94</v>
      </c>
      <c r="J139">
        <v>65</v>
      </c>
      <c r="K139">
        <v>388.55</v>
      </c>
      <c r="L139">
        <v>111.14</v>
      </c>
      <c r="M139">
        <v>0.28610000000000002</v>
      </c>
      <c r="N139">
        <v>32.869999999999997</v>
      </c>
      <c r="O139">
        <v>8.4600000000000009E-2</v>
      </c>
      <c r="P139">
        <v>0.63</v>
      </c>
      <c r="Q139">
        <v>0.35399999999999998</v>
      </c>
      <c r="R139">
        <v>5.15</v>
      </c>
      <c r="S139">
        <v>84.06</v>
      </c>
      <c r="T139">
        <v>101.78</v>
      </c>
      <c r="U139">
        <v>12000</v>
      </c>
      <c r="V139">
        <v>1092000</v>
      </c>
    </row>
    <row r="140" spans="1:22" x14ac:dyDescent="0.25">
      <c r="A140" t="s">
        <v>74</v>
      </c>
      <c r="B140" t="s">
        <v>75</v>
      </c>
      <c r="C140" t="str">
        <f t="shared" si="4"/>
        <v>2024</v>
      </c>
      <c r="D140" t="str">
        <f t="shared" si="5"/>
        <v>07</v>
      </c>
      <c r="E140" t="s">
        <v>69</v>
      </c>
      <c r="F140" t="s">
        <v>95</v>
      </c>
      <c r="G140" t="s">
        <v>24</v>
      </c>
      <c r="H140" t="s">
        <v>25</v>
      </c>
      <c r="I140" t="s">
        <v>94</v>
      </c>
      <c r="J140">
        <v>65</v>
      </c>
      <c r="K140">
        <v>399.3</v>
      </c>
      <c r="L140">
        <v>102.63</v>
      </c>
      <c r="M140">
        <v>0.25700000000000001</v>
      </c>
      <c r="N140">
        <v>28.7</v>
      </c>
      <c r="O140">
        <v>7.1900000000000006E-2</v>
      </c>
      <c r="P140">
        <v>0.61</v>
      </c>
      <c r="Q140">
        <v>0.22500000000000001</v>
      </c>
      <c r="R140">
        <v>1.02</v>
      </c>
      <c r="S140">
        <v>80.400000000000006</v>
      </c>
      <c r="T140">
        <v>93.98</v>
      </c>
      <c r="U140">
        <v>12000</v>
      </c>
      <c r="V140">
        <v>1092000</v>
      </c>
    </row>
    <row r="141" spans="1:22" x14ac:dyDescent="0.25">
      <c r="A141" t="s">
        <v>76</v>
      </c>
      <c r="B141" t="s">
        <v>77</v>
      </c>
      <c r="C141" t="str">
        <f t="shared" si="4"/>
        <v>2024</v>
      </c>
      <c r="D141" t="str">
        <f t="shared" si="5"/>
        <v>10</v>
      </c>
      <c r="E141" t="s">
        <v>69</v>
      </c>
      <c r="F141" t="s">
        <v>95</v>
      </c>
      <c r="G141" t="s">
        <v>24</v>
      </c>
      <c r="H141" t="s">
        <v>25</v>
      </c>
      <c r="I141" t="s">
        <v>94</v>
      </c>
      <c r="J141">
        <v>65</v>
      </c>
      <c r="K141">
        <v>396.28</v>
      </c>
      <c r="L141">
        <v>122.87</v>
      </c>
      <c r="M141">
        <v>0.31010000000000004</v>
      </c>
      <c r="N141">
        <v>25.78</v>
      </c>
      <c r="O141">
        <v>6.5000000000000002E-2</v>
      </c>
      <c r="P141">
        <v>0.61</v>
      </c>
      <c r="Q141">
        <v>0.32200000000000001</v>
      </c>
      <c r="R141">
        <v>9.9</v>
      </c>
      <c r="S141">
        <v>94.78</v>
      </c>
      <c r="T141">
        <v>112.52</v>
      </c>
      <c r="U141">
        <v>12000</v>
      </c>
      <c r="V141">
        <v>1092000</v>
      </c>
    </row>
    <row r="142" spans="1:22" x14ac:dyDescent="0.25">
      <c r="A142" t="s">
        <v>78</v>
      </c>
      <c r="B142" t="s">
        <v>79</v>
      </c>
      <c r="C142" t="str">
        <f t="shared" si="4"/>
        <v>2025</v>
      </c>
      <c r="D142" t="str">
        <f t="shared" si="5"/>
        <v>01</v>
      </c>
      <c r="E142" t="s">
        <v>80</v>
      </c>
      <c r="F142" t="s">
        <v>95</v>
      </c>
      <c r="G142" t="s">
        <v>24</v>
      </c>
      <c r="H142" t="s">
        <v>25</v>
      </c>
      <c r="I142" t="s">
        <v>94</v>
      </c>
      <c r="J142">
        <v>65</v>
      </c>
      <c r="K142">
        <v>393.15</v>
      </c>
      <c r="L142">
        <v>110.88</v>
      </c>
      <c r="M142">
        <v>0.28199999999999997</v>
      </c>
      <c r="N142">
        <v>48.93</v>
      </c>
      <c r="O142">
        <v>0.1245</v>
      </c>
      <c r="P142">
        <v>0.59</v>
      </c>
      <c r="Q142">
        <v>0.26100000000000001</v>
      </c>
      <c r="R142">
        <v>3.71</v>
      </c>
      <c r="S142">
        <v>85.13</v>
      </c>
      <c r="T142">
        <v>101.54</v>
      </c>
      <c r="U142">
        <v>12000</v>
      </c>
      <c r="V142">
        <v>1092000</v>
      </c>
    </row>
    <row r="143" spans="1:22" x14ac:dyDescent="0.25">
      <c r="A143" t="s">
        <v>81</v>
      </c>
      <c r="B143" t="s">
        <v>82</v>
      </c>
      <c r="C143" t="str">
        <f t="shared" si="4"/>
        <v>2025</v>
      </c>
      <c r="D143" t="str">
        <f t="shared" si="5"/>
        <v>04</v>
      </c>
      <c r="E143" t="s">
        <v>80</v>
      </c>
      <c r="F143" t="s">
        <v>95</v>
      </c>
      <c r="G143" t="s">
        <v>24</v>
      </c>
      <c r="H143" t="s">
        <v>25</v>
      </c>
      <c r="I143" t="s">
        <v>94</v>
      </c>
      <c r="J143">
        <v>65</v>
      </c>
      <c r="K143">
        <v>430.49</v>
      </c>
      <c r="L143">
        <v>131.51</v>
      </c>
      <c r="M143">
        <v>0.30549999999999999</v>
      </c>
      <c r="N143">
        <v>58.19</v>
      </c>
      <c r="O143">
        <v>0.13519999999999999</v>
      </c>
      <c r="P143">
        <v>0.67</v>
      </c>
      <c r="Q143">
        <v>7.400000000000001E-2</v>
      </c>
      <c r="R143">
        <v>3.29</v>
      </c>
      <c r="S143">
        <v>101.77</v>
      </c>
      <c r="T143">
        <v>120.43</v>
      </c>
      <c r="U143">
        <v>12000</v>
      </c>
      <c r="V143">
        <v>1092000</v>
      </c>
    </row>
    <row r="144" spans="1:22" x14ac:dyDescent="0.25">
      <c r="A144" t="s">
        <v>83</v>
      </c>
      <c r="B144" t="s">
        <v>84</v>
      </c>
      <c r="C144" t="str">
        <f t="shared" si="4"/>
        <v>2025</v>
      </c>
      <c r="D144" t="str">
        <f t="shared" si="5"/>
        <v>07</v>
      </c>
      <c r="E144" t="s">
        <v>80</v>
      </c>
      <c r="F144" t="s">
        <v>95</v>
      </c>
      <c r="G144" t="s">
        <v>24</v>
      </c>
      <c r="H144" t="s">
        <v>25</v>
      </c>
      <c r="I144" t="s">
        <v>94</v>
      </c>
      <c r="J144">
        <v>65</v>
      </c>
      <c r="K144">
        <v>426.94</v>
      </c>
      <c r="L144">
        <v>122.54</v>
      </c>
      <c r="M144">
        <v>0.28699999999999998</v>
      </c>
      <c r="N144">
        <v>22.5</v>
      </c>
      <c r="O144">
        <v>5.2699999999999997E-2</v>
      </c>
      <c r="P144">
        <v>0.73</v>
      </c>
      <c r="Q144">
        <v>0.30599999999999999</v>
      </c>
      <c r="R144">
        <v>9.26</v>
      </c>
      <c r="S144">
        <v>93.24</v>
      </c>
      <c r="T144">
        <v>112.22</v>
      </c>
      <c r="U144">
        <v>12000</v>
      </c>
      <c r="V144">
        <v>1092000</v>
      </c>
    </row>
    <row r="145" spans="1:22" x14ac:dyDescent="0.25">
      <c r="A145" t="s">
        <v>85</v>
      </c>
      <c r="B145" t="s">
        <v>86</v>
      </c>
      <c r="C145" t="str">
        <f t="shared" si="4"/>
        <v>2025</v>
      </c>
      <c r="D145" t="str">
        <f t="shared" si="5"/>
        <v>10</v>
      </c>
      <c r="E145" t="s">
        <v>80</v>
      </c>
      <c r="F145" t="s">
        <v>95</v>
      </c>
      <c r="G145" t="s">
        <v>24</v>
      </c>
      <c r="H145" t="s">
        <v>25</v>
      </c>
      <c r="I145" t="s">
        <v>94</v>
      </c>
      <c r="J145">
        <v>65</v>
      </c>
      <c r="K145">
        <v>428.58</v>
      </c>
      <c r="L145">
        <v>121.94</v>
      </c>
      <c r="M145">
        <v>0.28449999999999998</v>
      </c>
      <c r="N145">
        <v>45.66</v>
      </c>
      <c r="O145">
        <v>0.1065</v>
      </c>
      <c r="P145">
        <v>0.74</v>
      </c>
      <c r="Q145">
        <v>0.21299999999999999</v>
      </c>
      <c r="R145">
        <v>6.25</v>
      </c>
      <c r="S145">
        <v>99.34</v>
      </c>
      <c r="T145">
        <v>111.67</v>
      </c>
      <c r="U145">
        <v>12000</v>
      </c>
      <c r="V145">
        <v>1092000</v>
      </c>
    </row>
    <row r="146" spans="1:22" x14ac:dyDescent="0.25">
      <c r="A146" t="s">
        <v>87</v>
      </c>
      <c r="B146" t="s">
        <v>88</v>
      </c>
      <c r="C146" t="str">
        <f t="shared" si="4"/>
        <v>2026</v>
      </c>
      <c r="D146" t="str">
        <f t="shared" si="5"/>
        <v>01</v>
      </c>
      <c r="E146" t="s">
        <v>89</v>
      </c>
      <c r="F146" t="s">
        <v>95</v>
      </c>
      <c r="G146" t="s">
        <v>24</v>
      </c>
      <c r="H146" t="s">
        <v>25</v>
      </c>
      <c r="I146" t="s">
        <v>94</v>
      </c>
      <c r="J146">
        <v>65</v>
      </c>
      <c r="K146">
        <v>232.96</v>
      </c>
      <c r="L146">
        <v>160.31</v>
      </c>
      <c r="M146">
        <v>0.68810000000000004</v>
      </c>
      <c r="N146">
        <v>-39.92</v>
      </c>
      <c r="O146">
        <v>-0.17129999999999998</v>
      </c>
      <c r="P146">
        <v>0.36</v>
      </c>
      <c r="Q146">
        <v>0.19</v>
      </c>
      <c r="R146">
        <v>19.22</v>
      </c>
      <c r="S146">
        <v>130.88</v>
      </c>
      <c r="T146">
        <v>146.80000000000001</v>
      </c>
      <c r="U146">
        <v>12000</v>
      </c>
      <c r="V146">
        <v>1092000</v>
      </c>
    </row>
    <row r="147" spans="1:22" x14ac:dyDescent="0.25">
      <c r="A147" t="s">
        <v>20</v>
      </c>
      <c r="B147" t="s">
        <v>21</v>
      </c>
      <c r="C147" t="str">
        <f t="shared" si="4"/>
        <v>2019</v>
      </c>
      <c r="D147" t="str">
        <f t="shared" si="5"/>
        <v>01</v>
      </c>
      <c r="E147" t="s">
        <v>22</v>
      </c>
      <c r="F147" t="s">
        <v>96</v>
      </c>
      <c r="G147" t="s">
        <v>97</v>
      </c>
      <c r="H147" t="s">
        <v>25</v>
      </c>
      <c r="I147" t="s">
        <v>26</v>
      </c>
      <c r="J147">
        <v>32</v>
      </c>
      <c r="K147">
        <v>239.64</v>
      </c>
      <c r="L147">
        <v>44.11</v>
      </c>
      <c r="M147">
        <v>0.18410000000000001</v>
      </c>
      <c r="N147">
        <v>23.77</v>
      </c>
      <c r="O147">
        <v>9.9199999999999997E-2</v>
      </c>
      <c r="P147">
        <v>0.35</v>
      </c>
      <c r="Q147">
        <v>0.187</v>
      </c>
      <c r="R147">
        <v>0</v>
      </c>
      <c r="S147">
        <v>63</v>
      </c>
      <c r="T147">
        <v>74.58</v>
      </c>
      <c r="U147">
        <v>6500</v>
      </c>
      <c r="V147">
        <v>591500</v>
      </c>
    </row>
    <row r="148" spans="1:22" x14ac:dyDescent="0.25">
      <c r="A148" t="s">
        <v>27</v>
      </c>
      <c r="B148" t="s">
        <v>28</v>
      </c>
      <c r="C148" t="str">
        <f t="shared" si="4"/>
        <v>2019</v>
      </c>
      <c r="D148" t="str">
        <f t="shared" si="5"/>
        <v>04</v>
      </c>
      <c r="E148" t="s">
        <v>22</v>
      </c>
      <c r="F148" t="s">
        <v>96</v>
      </c>
      <c r="G148" t="s">
        <v>97</v>
      </c>
      <c r="H148" t="s">
        <v>25</v>
      </c>
      <c r="I148" t="s">
        <v>26</v>
      </c>
      <c r="J148">
        <v>32</v>
      </c>
      <c r="K148">
        <v>242.7</v>
      </c>
      <c r="L148">
        <v>43.38</v>
      </c>
      <c r="M148">
        <v>0.1787</v>
      </c>
      <c r="N148">
        <v>16.52</v>
      </c>
      <c r="O148">
        <v>6.8099999999999994E-2</v>
      </c>
      <c r="P148">
        <v>0.31</v>
      </c>
      <c r="Q148">
        <v>0.50600000000000001</v>
      </c>
      <c r="R148">
        <v>0</v>
      </c>
      <c r="S148">
        <v>64.790000000000006</v>
      </c>
      <c r="T148">
        <v>73.34</v>
      </c>
      <c r="U148">
        <v>6500</v>
      </c>
      <c r="V148">
        <v>591500</v>
      </c>
    </row>
    <row r="149" spans="1:22" x14ac:dyDescent="0.25">
      <c r="A149" t="s">
        <v>29</v>
      </c>
      <c r="B149" t="s">
        <v>30</v>
      </c>
      <c r="C149" t="str">
        <f t="shared" si="4"/>
        <v>2019</v>
      </c>
      <c r="D149" t="str">
        <f t="shared" si="5"/>
        <v>07</v>
      </c>
      <c r="E149" t="s">
        <v>22</v>
      </c>
      <c r="F149" t="s">
        <v>96</v>
      </c>
      <c r="G149" t="s">
        <v>97</v>
      </c>
      <c r="H149" t="s">
        <v>25</v>
      </c>
      <c r="I149" t="s">
        <v>26</v>
      </c>
      <c r="J149">
        <v>32</v>
      </c>
      <c r="K149">
        <v>238.29</v>
      </c>
      <c r="L149">
        <v>42.06</v>
      </c>
      <c r="M149">
        <v>0.17649999999999999</v>
      </c>
      <c r="N149">
        <v>18.920000000000002</v>
      </c>
      <c r="O149">
        <v>7.9399999999999998E-2</v>
      </c>
      <c r="P149">
        <v>0.33</v>
      </c>
      <c r="Q149">
        <v>0.26899999999999996</v>
      </c>
      <c r="R149">
        <v>0</v>
      </c>
      <c r="S149">
        <v>60.46</v>
      </c>
      <c r="T149">
        <v>71.11</v>
      </c>
      <c r="U149">
        <v>6500</v>
      </c>
      <c r="V149">
        <v>591500</v>
      </c>
    </row>
    <row r="150" spans="1:22" x14ac:dyDescent="0.25">
      <c r="A150" t="s">
        <v>31</v>
      </c>
      <c r="B150" t="s">
        <v>32</v>
      </c>
      <c r="C150" t="str">
        <f t="shared" si="4"/>
        <v>2019</v>
      </c>
      <c r="D150" t="str">
        <f t="shared" si="5"/>
        <v>10</v>
      </c>
      <c r="E150" t="s">
        <v>22</v>
      </c>
      <c r="F150" t="s">
        <v>96</v>
      </c>
      <c r="G150" t="s">
        <v>97</v>
      </c>
      <c r="H150" t="s">
        <v>25</v>
      </c>
      <c r="I150" t="s">
        <v>26</v>
      </c>
      <c r="J150">
        <v>32</v>
      </c>
      <c r="K150">
        <v>222.35</v>
      </c>
      <c r="L150">
        <v>45.53</v>
      </c>
      <c r="M150">
        <v>0.20480000000000001</v>
      </c>
      <c r="N150">
        <v>26.98</v>
      </c>
      <c r="O150">
        <v>0.12130000000000001</v>
      </c>
      <c r="P150">
        <v>0.32</v>
      </c>
      <c r="Q150">
        <v>0.315</v>
      </c>
      <c r="R150">
        <v>0</v>
      </c>
      <c r="S150">
        <v>65.66</v>
      </c>
      <c r="T150">
        <v>76.97</v>
      </c>
      <c r="U150">
        <v>6500</v>
      </c>
      <c r="V150">
        <v>591500</v>
      </c>
    </row>
    <row r="151" spans="1:22" x14ac:dyDescent="0.25">
      <c r="A151" t="s">
        <v>33</v>
      </c>
      <c r="B151" t="s">
        <v>34</v>
      </c>
      <c r="C151" t="str">
        <f t="shared" si="4"/>
        <v>2020</v>
      </c>
      <c r="D151" t="str">
        <f t="shared" si="5"/>
        <v>01</v>
      </c>
      <c r="E151" t="s">
        <v>22</v>
      </c>
      <c r="F151" t="s">
        <v>96</v>
      </c>
      <c r="G151" t="s">
        <v>97</v>
      </c>
      <c r="H151" t="s">
        <v>25</v>
      </c>
      <c r="I151" t="s">
        <v>26</v>
      </c>
      <c r="J151">
        <v>32</v>
      </c>
      <c r="K151">
        <v>227.07</v>
      </c>
      <c r="L151">
        <v>44.59</v>
      </c>
      <c r="M151">
        <v>0.19640000000000002</v>
      </c>
      <c r="N151">
        <v>13.17</v>
      </c>
      <c r="O151">
        <v>5.7999999999999996E-2</v>
      </c>
      <c r="P151">
        <v>0.32</v>
      </c>
      <c r="Q151">
        <v>0.6</v>
      </c>
      <c r="R151">
        <v>0</v>
      </c>
      <c r="S151">
        <v>66.66</v>
      </c>
      <c r="T151">
        <v>75.38</v>
      </c>
      <c r="U151">
        <v>6500</v>
      </c>
      <c r="V151">
        <v>591500</v>
      </c>
    </row>
    <row r="152" spans="1:22" x14ac:dyDescent="0.25">
      <c r="A152" t="s">
        <v>35</v>
      </c>
      <c r="B152" t="s">
        <v>36</v>
      </c>
      <c r="C152" t="str">
        <f t="shared" si="4"/>
        <v>2020</v>
      </c>
      <c r="D152" t="str">
        <f t="shared" si="5"/>
        <v>04</v>
      </c>
      <c r="E152" t="s">
        <v>37</v>
      </c>
      <c r="F152" t="s">
        <v>96</v>
      </c>
      <c r="G152" t="s">
        <v>97</v>
      </c>
      <c r="H152" t="s">
        <v>25</v>
      </c>
      <c r="I152" t="s">
        <v>26</v>
      </c>
      <c r="J152">
        <v>32</v>
      </c>
      <c r="K152">
        <v>66.099999999999994</v>
      </c>
      <c r="L152">
        <v>14.01</v>
      </c>
      <c r="M152">
        <v>0.21199999999999999</v>
      </c>
      <c r="N152">
        <v>-21.38</v>
      </c>
      <c r="O152">
        <v>-0.32340000000000002</v>
      </c>
      <c r="P152">
        <v>0.08</v>
      </c>
      <c r="Q152">
        <v>0.60499999999999998</v>
      </c>
      <c r="R152">
        <v>0</v>
      </c>
      <c r="S152">
        <v>20.57</v>
      </c>
      <c r="T152">
        <v>23.69</v>
      </c>
      <c r="U152">
        <v>6500</v>
      </c>
      <c r="V152">
        <v>591500</v>
      </c>
    </row>
    <row r="153" spans="1:22" x14ac:dyDescent="0.25">
      <c r="A153" t="s">
        <v>38</v>
      </c>
      <c r="B153" t="s">
        <v>39</v>
      </c>
      <c r="C153" t="str">
        <f t="shared" si="4"/>
        <v>2020</v>
      </c>
      <c r="D153" t="str">
        <f t="shared" si="5"/>
        <v>07</v>
      </c>
      <c r="E153" t="s">
        <v>37</v>
      </c>
      <c r="F153" t="s">
        <v>96</v>
      </c>
      <c r="G153" t="s">
        <v>97</v>
      </c>
      <c r="H153" t="s">
        <v>25</v>
      </c>
      <c r="I153" t="s">
        <v>26</v>
      </c>
      <c r="J153">
        <v>32</v>
      </c>
      <c r="K153">
        <v>47.61</v>
      </c>
      <c r="L153">
        <v>29.83</v>
      </c>
      <c r="M153">
        <v>0.62649999999999995</v>
      </c>
      <c r="N153">
        <v>-17.86</v>
      </c>
      <c r="O153">
        <v>-0.375</v>
      </c>
      <c r="P153">
        <v>7.0000000000000007E-2</v>
      </c>
      <c r="Q153">
        <v>0.27899999999999997</v>
      </c>
      <c r="R153">
        <v>0</v>
      </c>
      <c r="S153">
        <v>44.05</v>
      </c>
      <c r="T153">
        <v>50.43</v>
      </c>
      <c r="U153">
        <v>6500</v>
      </c>
      <c r="V153">
        <v>591500</v>
      </c>
    </row>
    <row r="154" spans="1:22" x14ac:dyDescent="0.25">
      <c r="A154" t="s">
        <v>40</v>
      </c>
      <c r="B154" t="s">
        <v>41</v>
      </c>
      <c r="C154" t="str">
        <f t="shared" si="4"/>
        <v>2020</v>
      </c>
      <c r="D154" t="str">
        <f t="shared" si="5"/>
        <v>10</v>
      </c>
      <c r="E154" t="s">
        <v>37</v>
      </c>
      <c r="F154" t="s">
        <v>96</v>
      </c>
      <c r="G154" t="s">
        <v>97</v>
      </c>
      <c r="H154" t="s">
        <v>25</v>
      </c>
      <c r="I154" t="s">
        <v>26</v>
      </c>
      <c r="J154">
        <v>32</v>
      </c>
      <c r="K154">
        <v>77.06</v>
      </c>
      <c r="L154">
        <v>27.01</v>
      </c>
      <c r="M154">
        <v>0.35049999999999998</v>
      </c>
      <c r="N154">
        <v>-31.5</v>
      </c>
      <c r="O154">
        <v>-0.40869999999999995</v>
      </c>
      <c r="P154">
        <v>0.11</v>
      </c>
      <c r="Q154">
        <v>6.9000000000000006E-2</v>
      </c>
      <c r="R154">
        <v>0</v>
      </c>
      <c r="S154">
        <v>39.950000000000003</v>
      </c>
      <c r="T154">
        <v>45.66</v>
      </c>
      <c r="U154">
        <v>6500</v>
      </c>
      <c r="V154">
        <v>591500</v>
      </c>
    </row>
    <row r="155" spans="1:22" x14ac:dyDescent="0.25">
      <c r="A155" t="s">
        <v>42</v>
      </c>
      <c r="B155" t="s">
        <v>43</v>
      </c>
      <c r="C155" t="str">
        <f t="shared" si="4"/>
        <v>2021</v>
      </c>
      <c r="D155" t="str">
        <f t="shared" si="5"/>
        <v>01</v>
      </c>
      <c r="E155" t="s">
        <v>37</v>
      </c>
      <c r="F155" t="s">
        <v>96</v>
      </c>
      <c r="G155" t="s">
        <v>97</v>
      </c>
      <c r="H155" t="s">
        <v>25</v>
      </c>
      <c r="I155" t="s">
        <v>26</v>
      </c>
      <c r="J155">
        <v>32</v>
      </c>
      <c r="K155">
        <v>46.21</v>
      </c>
      <c r="L155">
        <v>50.73</v>
      </c>
      <c r="M155">
        <v>1.0979000000000001</v>
      </c>
      <c r="N155">
        <v>-12.45</v>
      </c>
      <c r="O155">
        <v>-0.26950000000000002</v>
      </c>
      <c r="P155">
        <v>7.0000000000000007E-2</v>
      </c>
      <c r="Q155">
        <v>0.30499999999999999</v>
      </c>
      <c r="R155">
        <v>0</v>
      </c>
      <c r="S155">
        <v>75.489999999999995</v>
      </c>
      <c r="T155">
        <v>85.77</v>
      </c>
      <c r="U155">
        <v>6500</v>
      </c>
      <c r="V155">
        <v>591500</v>
      </c>
    </row>
    <row r="156" spans="1:22" x14ac:dyDescent="0.25">
      <c r="A156" t="s">
        <v>44</v>
      </c>
      <c r="B156" t="s">
        <v>45</v>
      </c>
      <c r="C156" t="str">
        <f t="shared" si="4"/>
        <v>2021</v>
      </c>
      <c r="D156" t="str">
        <f t="shared" si="5"/>
        <v>04</v>
      </c>
      <c r="E156" t="s">
        <v>37</v>
      </c>
      <c r="F156" t="s">
        <v>96</v>
      </c>
      <c r="G156" t="s">
        <v>97</v>
      </c>
      <c r="H156" t="s">
        <v>25</v>
      </c>
      <c r="I156" t="s">
        <v>26</v>
      </c>
      <c r="J156">
        <v>32</v>
      </c>
      <c r="K156">
        <v>69.27</v>
      </c>
      <c r="L156">
        <v>53.78</v>
      </c>
      <c r="M156">
        <v>0.77639999999999998</v>
      </c>
      <c r="N156">
        <v>-14.98</v>
      </c>
      <c r="O156">
        <v>-0.2162</v>
      </c>
      <c r="P156">
        <v>0.1</v>
      </c>
      <c r="Q156">
        <v>0.223</v>
      </c>
      <c r="R156">
        <v>0.12</v>
      </c>
      <c r="S156">
        <v>76.83</v>
      </c>
      <c r="T156">
        <v>90.92</v>
      </c>
      <c r="U156">
        <v>6500</v>
      </c>
      <c r="V156">
        <v>591500</v>
      </c>
    </row>
    <row r="157" spans="1:22" x14ac:dyDescent="0.25">
      <c r="A157" t="s">
        <v>46</v>
      </c>
      <c r="B157" t="s">
        <v>47</v>
      </c>
      <c r="C157" t="str">
        <f t="shared" si="4"/>
        <v>2021</v>
      </c>
      <c r="D157" t="str">
        <f t="shared" si="5"/>
        <v>07</v>
      </c>
      <c r="E157" t="s">
        <v>48</v>
      </c>
      <c r="F157" t="s">
        <v>96</v>
      </c>
      <c r="G157" t="s">
        <v>97</v>
      </c>
      <c r="H157" t="s">
        <v>25</v>
      </c>
      <c r="I157" t="s">
        <v>26</v>
      </c>
      <c r="J157">
        <v>32</v>
      </c>
      <c r="K157">
        <v>160.30000000000001</v>
      </c>
      <c r="L157">
        <v>53.19</v>
      </c>
      <c r="M157">
        <v>0.33179999999999998</v>
      </c>
      <c r="N157">
        <v>7.12</v>
      </c>
      <c r="O157">
        <v>4.4400000000000002E-2</v>
      </c>
      <c r="P157">
        <v>0.23</v>
      </c>
      <c r="Q157">
        <v>0.255</v>
      </c>
      <c r="R157">
        <v>0</v>
      </c>
      <c r="S157">
        <v>78.97</v>
      </c>
      <c r="T157">
        <v>89.92</v>
      </c>
      <c r="U157">
        <v>6500</v>
      </c>
      <c r="V157">
        <v>591500</v>
      </c>
    </row>
    <row r="158" spans="1:22" x14ac:dyDescent="0.25">
      <c r="A158" t="s">
        <v>49</v>
      </c>
      <c r="B158" t="s">
        <v>50</v>
      </c>
      <c r="C158" t="str">
        <f t="shared" si="4"/>
        <v>2021</v>
      </c>
      <c r="D158" t="str">
        <f t="shared" si="5"/>
        <v>10</v>
      </c>
      <c r="E158" t="s">
        <v>48</v>
      </c>
      <c r="F158" t="s">
        <v>96</v>
      </c>
      <c r="G158" t="s">
        <v>97</v>
      </c>
      <c r="H158" t="s">
        <v>25</v>
      </c>
      <c r="I158" t="s">
        <v>26</v>
      </c>
      <c r="J158">
        <v>32</v>
      </c>
      <c r="K158">
        <v>156.54</v>
      </c>
      <c r="L158">
        <v>61.66</v>
      </c>
      <c r="M158">
        <v>0.39390000000000003</v>
      </c>
      <c r="N158">
        <v>4.76</v>
      </c>
      <c r="O158">
        <v>3.04E-2</v>
      </c>
      <c r="P158">
        <v>0.21</v>
      </c>
      <c r="Q158">
        <v>8.5999999999999993E-2</v>
      </c>
      <c r="R158">
        <v>0.84</v>
      </c>
      <c r="S158">
        <v>86.82</v>
      </c>
      <c r="T158">
        <v>104.25</v>
      </c>
      <c r="U158">
        <v>6500</v>
      </c>
      <c r="V158">
        <v>591500</v>
      </c>
    </row>
    <row r="159" spans="1:22" x14ac:dyDescent="0.25">
      <c r="A159" t="s">
        <v>51</v>
      </c>
      <c r="B159" t="s">
        <v>52</v>
      </c>
      <c r="C159" t="str">
        <f t="shared" si="4"/>
        <v>2022</v>
      </c>
      <c r="D159" t="str">
        <f t="shared" si="5"/>
        <v>01</v>
      </c>
      <c r="E159" t="s">
        <v>48</v>
      </c>
      <c r="F159" t="s">
        <v>96</v>
      </c>
      <c r="G159" t="s">
        <v>97</v>
      </c>
      <c r="H159" t="s">
        <v>25</v>
      </c>
      <c r="I159" t="s">
        <v>26</v>
      </c>
      <c r="J159">
        <v>32</v>
      </c>
      <c r="K159">
        <v>175.02</v>
      </c>
      <c r="L159">
        <v>48.17</v>
      </c>
      <c r="M159">
        <v>0.2752</v>
      </c>
      <c r="N159">
        <v>7.12</v>
      </c>
      <c r="O159">
        <v>4.07E-2</v>
      </c>
      <c r="P159">
        <v>0.23</v>
      </c>
      <c r="Q159">
        <v>0.54100000000000004</v>
      </c>
      <c r="R159">
        <v>0</v>
      </c>
      <c r="S159">
        <v>72.010000000000005</v>
      </c>
      <c r="T159">
        <v>81.44</v>
      </c>
      <c r="U159">
        <v>6500</v>
      </c>
      <c r="V159">
        <v>591500</v>
      </c>
    </row>
    <row r="160" spans="1:22" x14ac:dyDescent="0.25">
      <c r="A160" t="s">
        <v>53</v>
      </c>
      <c r="B160" t="s">
        <v>54</v>
      </c>
      <c r="C160" t="str">
        <f t="shared" si="4"/>
        <v>2022</v>
      </c>
      <c r="D160" t="str">
        <f t="shared" si="5"/>
        <v>04</v>
      </c>
      <c r="E160" t="s">
        <v>55</v>
      </c>
      <c r="F160" t="s">
        <v>96</v>
      </c>
      <c r="G160" t="s">
        <v>97</v>
      </c>
      <c r="H160" t="s">
        <v>25</v>
      </c>
      <c r="I160" t="s">
        <v>26</v>
      </c>
      <c r="J160">
        <v>32</v>
      </c>
      <c r="K160">
        <v>205.82</v>
      </c>
      <c r="L160">
        <v>77.86</v>
      </c>
      <c r="M160">
        <v>0.37829999999999997</v>
      </c>
      <c r="N160">
        <v>12.28</v>
      </c>
      <c r="O160">
        <v>5.9699999999999996E-2</v>
      </c>
      <c r="P160">
        <v>0.31</v>
      </c>
      <c r="Q160">
        <v>0.124</v>
      </c>
      <c r="R160">
        <v>4.47</v>
      </c>
      <c r="S160">
        <v>109.53</v>
      </c>
      <c r="T160">
        <v>131.63</v>
      </c>
      <c r="U160">
        <v>6500</v>
      </c>
      <c r="V160">
        <v>591500</v>
      </c>
    </row>
    <row r="161" spans="1:22" x14ac:dyDescent="0.25">
      <c r="A161" t="s">
        <v>56</v>
      </c>
      <c r="B161" t="s">
        <v>57</v>
      </c>
      <c r="C161" t="str">
        <f t="shared" si="4"/>
        <v>2022</v>
      </c>
      <c r="D161" t="str">
        <f t="shared" si="5"/>
        <v>07</v>
      </c>
      <c r="E161" t="s">
        <v>55</v>
      </c>
      <c r="F161" t="s">
        <v>96</v>
      </c>
      <c r="G161" t="s">
        <v>97</v>
      </c>
      <c r="H161" t="s">
        <v>25</v>
      </c>
      <c r="I161" t="s">
        <v>26</v>
      </c>
      <c r="J161">
        <v>32</v>
      </c>
      <c r="K161">
        <v>210.25</v>
      </c>
      <c r="L161">
        <v>55.89</v>
      </c>
      <c r="M161">
        <v>0.26579999999999998</v>
      </c>
      <c r="N161">
        <v>10.57</v>
      </c>
      <c r="O161">
        <v>5.0300000000000004E-2</v>
      </c>
      <c r="P161">
        <v>0.28000000000000003</v>
      </c>
      <c r="Q161">
        <v>0.14400000000000002</v>
      </c>
      <c r="R161">
        <v>0.4</v>
      </c>
      <c r="S161">
        <v>80.69</v>
      </c>
      <c r="T161">
        <v>94.49</v>
      </c>
      <c r="U161">
        <v>6500</v>
      </c>
      <c r="V161">
        <v>591500</v>
      </c>
    </row>
    <row r="162" spans="1:22" x14ac:dyDescent="0.25">
      <c r="A162" t="s">
        <v>58</v>
      </c>
      <c r="B162" t="s">
        <v>59</v>
      </c>
      <c r="C162" t="str">
        <f t="shared" si="4"/>
        <v>2022</v>
      </c>
      <c r="D162" t="str">
        <f t="shared" si="5"/>
        <v>10</v>
      </c>
      <c r="E162" t="s">
        <v>55</v>
      </c>
      <c r="F162" t="s">
        <v>96</v>
      </c>
      <c r="G162" t="s">
        <v>97</v>
      </c>
      <c r="H162" t="s">
        <v>25</v>
      </c>
      <c r="I162" t="s">
        <v>26</v>
      </c>
      <c r="J162">
        <v>32</v>
      </c>
      <c r="K162">
        <v>245.24</v>
      </c>
      <c r="L162">
        <v>62.44</v>
      </c>
      <c r="M162">
        <v>0.25459999999999999</v>
      </c>
      <c r="N162">
        <v>11.67</v>
      </c>
      <c r="O162">
        <v>4.7599999999999996E-2</v>
      </c>
      <c r="P162">
        <v>0.31</v>
      </c>
      <c r="Q162">
        <v>0.58499999999999996</v>
      </c>
      <c r="R162">
        <v>6.32</v>
      </c>
      <c r="S162">
        <v>93.25</v>
      </c>
      <c r="T162">
        <v>105.56</v>
      </c>
      <c r="U162">
        <v>6500</v>
      </c>
      <c r="V162">
        <v>591500</v>
      </c>
    </row>
    <row r="163" spans="1:22" x14ac:dyDescent="0.25">
      <c r="A163" t="s">
        <v>60</v>
      </c>
      <c r="B163" t="s">
        <v>61</v>
      </c>
      <c r="C163" t="str">
        <f t="shared" si="4"/>
        <v>2023</v>
      </c>
      <c r="D163" t="str">
        <f t="shared" si="5"/>
        <v>01</v>
      </c>
      <c r="E163" t="s">
        <v>62</v>
      </c>
      <c r="F163" t="s">
        <v>96</v>
      </c>
      <c r="G163" t="s">
        <v>97</v>
      </c>
      <c r="H163" t="s">
        <v>25</v>
      </c>
      <c r="I163" t="s">
        <v>26</v>
      </c>
      <c r="J163">
        <v>32</v>
      </c>
      <c r="K163">
        <v>226.86</v>
      </c>
      <c r="L163">
        <v>57.45</v>
      </c>
      <c r="M163">
        <v>0.25319999999999998</v>
      </c>
      <c r="N163">
        <v>25.77</v>
      </c>
      <c r="O163">
        <v>0.11359999999999999</v>
      </c>
      <c r="P163">
        <v>0.3</v>
      </c>
      <c r="Q163">
        <v>0.60799999999999998</v>
      </c>
      <c r="R163">
        <v>2.77</v>
      </c>
      <c r="S163">
        <v>84.29</v>
      </c>
      <c r="T163">
        <v>97.13</v>
      </c>
      <c r="U163">
        <v>6500</v>
      </c>
      <c r="V163">
        <v>591500</v>
      </c>
    </row>
    <row r="164" spans="1:22" x14ac:dyDescent="0.25">
      <c r="A164" t="s">
        <v>63</v>
      </c>
      <c r="B164" t="s">
        <v>64</v>
      </c>
      <c r="C164" t="str">
        <f t="shared" si="4"/>
        <v>2023</v>
      </c>
      <c r="D164" t="str">
        <f t="shared" si="5"/>
        <v>04</v>
      </c>
      <c r="E164" t="s">
        <v>62</v>
      </c>
      <c r="F164" t="s">
        <v>96</v>
      </c>
      <c r="G164" t="s">
        <v>97</v>
      </c>
      <c r="H164" t="s">
        <v>25</v>
      </c>
      <c r="I164" t="s">
        <v>26</v>
      </c>
      <c r="J164">
        <v>32</v>
      </c>
      <c r="K164">
        <v>222.17</v>
      </c>
      <c r="L164">
        <v>60.32</v>
      </c>
      <c r="M164">
        <v>0.27149999999999996</v>
      </c>
      <c r="N164">
        <v>23.61</v>
      </c>
      <c r="O164">
        <v>0.10630000000000001</v>
      </c>
      <c r="P164">
        <v>0.33</v>
      </c>
      <c r="Q164">
        <v>0.155</v>
      </c>
      <c r="R164">
        <v>1.24</v>
      </c>
      <c r="S164">
        <v>88.18</v>
      </c>
      <c r="T164">
        <v>101.97</v>
      </c>
      <c r="U164">
        <v>6500</v>
      </c>
      <c r="V164">
        <v>591500</v>
      </c>
    </row>
    <row r="165" spans="1:22" x14ac:dyDescent="0.25">
      <c r="A165" t="s">
        <v>65</v>
      </c>
      <c r="B165" t="s">
        <v>66</v>
      </c>
      <c r="C165" t="str">
        <f t="shared" si="4"/>
        <v>2023</v>
      </c>
      <c r="D165" t="str">
        <f t="shared" si="5"/>
        <v>07</v>
      </c>
      <c r="E165" t="s">
        <v>62</v>
      </c>
      <c r="F165" t="s">
        <v>96</v>
      </c>
      <c r="G165" t="s">
        <v>97</v>
      </c>
      <c r="H165" t="s">
        <v>25</v>
      </c>
      <c r="I165" t="s">
        <v>26</v>
      </c>
      <c r="J165">
        <v>32</v>
      </c>
      <c r="K165">
        <v>237.19</v>
      </c>
      <c r="L165">
        <v>57.68</v>
      </c>
      <c r="M165">
        <v>0.2432</v>
      </c>
      <c r="N165">
        <v>28.28</v>
      </c>
      <c r="O165">
        <v>0.1192</v>
      </c>
      <c r="P165">
        <v>0.36</v>
      </c>
      <c r="Q165">
        <v>0.6</v>
      </c>
      <c r="R165">
        <v>2.89</v>
      </c>
      <c r="S165">
        <v>85.16</v>
      </c>
      <c r="T165">
        <v>97.52</v>
      </c>
      <c r="U165">
        <v>6500</v>
      </c>
      <c r="V165">
        <v>591500</v>
      </c>
    </row>
    <row r="166" spans="1:22" x14ac:dyDescent="0.25">
      <c r="A166" t="s">
        <v>67</v>
      </c>
      <c r="B166" t="s">
        <v>68</v>
      </c>
      <c r="C166" t="str">
        <f t="shared" si="4"/>
        <v>2023</v>
      </c>
      <c r="D166" t="str">
        <f t="shared" si="5"/>
        <v>10</v>
      </c>
      <c r="E166" t="s">
        <v>69</v>
      </c>
      <c r="F166" t="s">
        <v>96</v>
      </c>
      <c r="G166" t="s">
        <v>97</v>
      </c>
      <c r="H166" t="s">
        <v>25</v>
      </c>
      <c r="I166" t="s">
        <v>26</v>
      </c>
      <c r="J166">
        <v>32</v>
      </c>
      <c r="K166">
        <v>225.12</v>
      </c>
      <c r="L166">
        <v>53.21</v>
      </c>
      <c r="M166">
        <v>0.2364</v>
      </c>
      <c r="N166">
        <v>22.3</v>
      </c>
      <c r="O166">
        <v>9.9100000000000008E-2</v>
      </c>
      <c r="P166">
        <v>0.34</v>
      </c>
      <c r="Q166">
        <v>3.0000000000000001E-3</v>
      </c>
      <c r="R166">
        <v>0</v>
      </c>
      <c r="S166">
        <v>78.33</v>
      </c>
      <c r="T166">
        <v>89.96</v>
      </c>
      <c r="U166">
        <v>6500</v>
      </c>
      <c r="V166">
        <v>591500</v>
      </c>
    </row>
    <row r="167" spans="1:22" x14ac:dyDescent="0.25">
      <c r="A167" t="s">
        <v>70</v>
      </c>
      <c r="B167" t="s">
        <v>71</v>
      </c>
      <c r="C167" t="str">
        <f t="shared" si="4"/>
        <v>2024</v>
      </c>
      <c r="D167" t="str">
        <f t="shared" si="5"/>
        <v>01</v>
      </c>
      <c r="E167" t="s">
        <v>69</v>
      </c>
      <c r="F167" t="s">
        <v>96</v>
      </c>
      <c r="G167" t="s">
        <v>97</v>
      </c>
      <c r="H167" t="s">
        <v>25</v>
      </c>
      <c r="I167" t="s">
        <v>26</v>
      </c>
      <c r="J167">
        <v>32</v>
      </c>
      <c r="K167">
        <v>232.1</v>
      </c>
      <c r="L167">
        <v>58.57</v>
      </c>
      <c r="M167">
        <v>0.25230000000000002</v>
      </c>
      <c r="N167">
        <v>14.28</v>
      </c>
      <c r="O167">
        <v>6.1500000000000006E-2</v>
      </c>
      <c r="P167">
        <v>0.34</v>
      </c>
      <c r="Q167">
        <v>0.51800000000000002</v>
      </c>
      <c r="R167">
        <v>3.04</v>
      </c>
      <c r="S167">
        <v>84.61</v>
      </c>
      <c r="T167">
        <v>99.02</v>
      </c>
      <c r="U167">
        <v>6500</v>
      </c>
      <c r="V167">
        <v>591500</v>
      </c>
    </row>
    <row r="168" spans="1:22" x14ac:dyDescent="0.25">
      <c r="A168" t="s">
        <v>72</v>
      </c>
      <c r="B168" t="s">
        <v>73</v>
      </c>
      <c r="C168" t="str">
        <f t="shared" si="4"/>
        <v>2024</v>
      </c>
      <c r="D168" t="str">
        <f t="shared" si="5"/>
        <v>04</v>
      </c>
      <c r="E168" t="s">
        <v>69</v>
      </c>
      <c r="F168" t="s">
        <v>96</v>
      </c>
      <c r="G168" t="s">
        <v>97</v>
      </c>
      <c r="H168" t="s">
        <v>25</v>
      </c>
      <c r="I168" t="s">
        <v>26</v>
      </c>
      <c r="J168">
        <v>32</v>
      </c>
      <c r="K168">
        <v>234.6</v>
      </c>
      <c r="L168">
        <v>60.2</v>
      </c>
      <c r="M168">
        <v>0.25659999999999999</v>
      </c>
      <c r="N168">
        <v>32.75</v>
      </c>
      <c r="O168">
        <v>0.1396</v>
      </c>
      <c r="P168">
        <v>0.32</v>
      </c>
      <c r="Q168">
        <v>0.36499999999999999</v>
      </c>
      <c r="R168">
        <v>2.88</v>
      </c>
      <c r="S168">
        <v>84.06</v>
      </c>
      <c r="T168">
        <v>101.78</v>
      </c>
      <c r="U168">
        <v>6500</v>
      </c>
      <c r="V168">
        <v>591500</v>
      </c>
    </row>
    <row r="169" spans="1:22" x14ac:dyDescent="0.25">
      <c r="A169" t="s">
        <v>74</v>
      </c>
      <c r="B169" t="s">
        <v>75</v>
      </c>
      <c r="C169" t="str">
        <f t="shared" si="4"/>
        <v>2024</v>
      </c>
      <c r="D169" t="str">
        <f t="shared" si="5"/>
        <v>07</v>
      </c>
      <c r="E169" t="s">
        <v>69</v>
      </c>
      <c r="F169" t="s">
        <v>96</v>
      </c>
      <c r="G169" t="s">
        <v>97</v>
      </c>
      <c r="H169" t="s">
        <v>25</v>
      </c>
      <c r="I169" t="s">
        <v>26</v>
      </c>
      <c r="J169">
        <v>32</v>
      </c>
      <c r="K169">
        <v>225.71</v>
      </c>
      <c r="L169">
        <v>55.59</v>
      </c>
      <c r="M169">
        <v>0.24629999999999999</v>
      </c>
      <c r="N169">
        <v>31.01</v>
      </c>
      <c r="O169">
        <v>0.13739999999999999</v>
      </c>
      <c r="P169">
        <v>0.34</v>
      </c>
      <c r="Q169">
        <v>0.6409999999999999</v>
      </c>
      <c r="R169">
        <v>1.58</v>
      </c>
      <c r="S169">
        <v>80.400000000000006</v>
      </c>
      <c r="T169">
        <v>93.98</v>
      </c>
      <c r="U169">
        <v>6500</v>
      </c>
      <c r="V169">
        <v>591500</v>
      </c>
    </row>
    <row r="170" spans="1:22" x14ac:dyDescent="0.25">
      <c r="A170" t="s">
        <v>76</v>
      </c>
      <c r="B170" t="s">
        <v>77</v>
      </c>
      <c r="C170" t="str">
        <f t="shared" si="4"/>
        <v>2024</v>
      </c>
      <c r="D170" t="str">
        <f t="shared" si="5"/>
        <v>10</v>
      </c>
      <c r="E170" t="s">
        <v>69</v>
      </c>
      <c r="F170" t="s">
        <v>96</v>
      </c>
      <c r="G170" t="s">
        <v>97</v>
      </c>
      <c r="H170" t="s">
        <v>25</v>
      </c>
      <c r="I170" t="s">
        <v>26</v>
      </c>
      <c r="J170">
        <v>32</v>
      </c>
      <c r="K170">
        <v>242.56</v>
      </c>
      <c r="L170">
        <v>66.56</v>
      </c>
      <c r="M170">
        <v>0.27440000000000003</v>
      </c>
      <c r="N170">
        <v>31.42</v>
      </c>
      <c r="O170">
        <v>0.1295</v>
      </c>
      <c r="P170">
        <v>0.36</v>
      </c>
      <c r="Q170">
        <v>7.8E-2</v>
      </c>
      <c r="R170">
        <v>1.3</v>
      </c>
      <c r="S170">
        <v>94.78</v>
      </c>
      <c r="T170">
        <v>112.52</v>
      </c>
      <c r="U170">
        <v>6500</v>
      </c>
      <c r="V170">
        <v>591500</v>
      </c>
    </row>
    <row r="171" spans="1:22" x14ac:dyDescent="0.25">
      <c r="A171" t="s">
        <v>78</v>
      </c>
      <c r="B171" t="s">
        <v>79</v>
      </c>
      <c r="C171" t="str">
        <f t="shared" si="4"/>
        <v>2025</v>
      </c>
      <c r="D171" t="str">
        <f t="shared" si="5"/>
        <v>01</v>
      </c>
      <c r="E171" t="s">
        <v>80</v>
      </c>
      <c r="F171" t="s">
        <v>96</v>
      </c>
      <c r="G171" t="s">
        <v>97</v>
      </c>
      <c r="H171" t="s">
        <v>25</v>
      </c>
      <c r="I171" t="s">
        <v>26</v>
      </c>
      <c r="J171">
        <v>32</v>
      </c>
      <c r="K171">
        <v>218.83</v>
      </c>
      <c r="L171">
        <v>60.06</v>
      </c>
      <c r="M171">
        <v>0.27449999999999997</v>
      </c>
      <c r="N171">
        <v>28.12</v>
      </c>
      <c r="O171">
        <v>0.1285</v>
      </c>
      <c r="P171">
        <v>0.32</v>
      </c>
      <c r="Q171">
        <v>0.56899999999999995</v>
      </c>
      <c r="R171">
        <v>4.38</v>
      </c>
      <c r="S171">
        <v>85.13</v>
      </c>
      <c r="T171">
        <v>101.54</v>
      </c>
      <c r="U171">
        <v>6500</v>
      </c>
      <c r="V171">
        <v>591500</v>
      </c>
    </row>
    <row r="172" spans="1:22" x14ac:dyDescent="0.25">
      <c r="A172" t="s">
        <v>81</v>
      </c>
      <c r="B172" t="s">
        <v>82</v>
      </c>
      <c r="C172" t="str">
        <f t="shared" si="4"/>
        <v>2025</v>
      </c>
      <c r="D172" t="str">
        <f t="shared" si="5"/>
        <v>04</v>
      </c>
      <c r="E172" t="s">
        <v>80</v>
      </c>
      <c r="F172" t="s">
        <v>96</v>
      </c>
      <c r="G172" t="s">
        <v>97</v>
      </c>
      <c r="H172" t="s">
        <v>25</v>
      </c>
      <c r="I172" t="s">
        <v>26</v>
      </c>
      <c r="J172">
        <v>32</v>
      </c>
      <c r="K172">
        <v>236.27</v>
      </c>
      <c r="L172">
        <v>71.23</v>
      </c>
      <c r="M172">
        <v>0.30149999999999999</v>
      </c>
      <c r="N172">
        <v>12.75</v>
      </c>
      <c r="O172">
        <v>5.4000000000000006E-2</v>
      </c>
      <c r="P172">
        <v>0.35</v>
      </c>
      <c r="Q172">
        <v>0.501</v>
      </c>
      <c r="R172">
        <v>12.07</v>
      </c>
      <c r="S172">
        <v>101.77</v>
      </c>
      <c r="T172">
        <v>120.43</v>
      </c>
      <c r="U172">
        <v>6500</v>
      </c>
      <c r="V172">
        <v>591500</v>
      </c>
    </row>
    <row r="173" spans="1:22" x14ac:dyDescent="0.25">
      <c r="A173" t="s">
        <v>83</v>
      </c>
      <c r="B173" t="s">
        <v>84</v>
      </c>
      <c r="C173" t="str">
        <f t="shared" si="4"/>
        <v>2025</v>
      </c>
      <c r="D173" t="str">
        <f t="shared" si="5"/>
        <v>07</v>
      </c>
      <c r="E173" t="s">
        <v>80</v>
      </c>
      <c r="F173" t="s">
        <v>96</v>
      </c>
      <c r="G173" t="s">
        <v>97</v>
      </c>
      <c r="H173" t="s">
        <v>25</v>
      </c>
      <c r="I173" t="s">
        <v>26</v>
      </c>
      <c r="J173">
        <v>32</v>
      </c>
      <c r="K173">
        <v>230.45</v>
      </c>
      <c r="L173">
        <v>66.38</v>
      </c>
      <c r="M173">
        <v>0.28800000000000003</v>
      </c>
      <c r="N173">
        <v>21.49</v>
      </c>
      <c r="O173">
        <v>9.3200000000000005E-2</v>
      </c>
      <c r="P173">
        <v>0.32</v>
      </c>
      <c r="Q173">
        <v>0.254</v>
      </c>
      <c r="R173">
        <v>4.16</v>
      </c>
      <c r="S173">
        <v>93.24</v>
      </c>
      <c r="T173">
        <v>112.22</v>
      </c>
      <c r="U173">
        <v>6500</v>
      </c>
      <c r="V173">
        <v>591500</v>
      </c>
    </row>
    <row r="174" spans="1:22" x14ac:dyDescent="0.25">
      <c r="A174" t="s">
        <v>85</v>
      </c>
      <c r="B174" t="s">
        <v>86</v>
      </c>
      <c r="C174" t="str">
        <f t="shared" si="4"/>
        <v>2025</v>
      </c>
      <c r="D174" t="str">
        <f t="shared" si="5"/>
        <v>10</v>
      </c>
      <c r="E174" t="s">
        <v>80</v>
      </c>
      <c r="F174" t="s">
        <v>96</v>
      </c>
      <c r="G174" t="s">
        <v>97</v>
      </c>
      <c r="H174" t="s">
        <v>25</v>
      </c>
      <c r="I174" t="s">
        <v>26</v>
      </c>
      <c r="J174">
        <v>32</v>
      </c>
      <c r="K174">
        <v>237.24</v>
      </c>
      <c r="L174">
        <v>66.05</v>
      </c>
      <c r="M174">
        <v>0.27839999999999998</v>
      </c>
      <c r="N174">
        <v>31.06</v>
      </c>
      <c r="O174">
        <v>0.13089999999999999</v>
      </c>
      <c r="P174">
        <v>0.31</v>
      </c>
      <c r="Q174">
        <v>2.5000000000000001E-2</v>
      </c>
      <c r="R174">
        <v>0.4</v>
      </c>
      <c r="S174">
        <v>99.34</v>
      </c>
      <c r="T174">
        <v>111.67</v>
      </c>
      <c r="U174">
        <v>6500</v>
      </c>
      <c r="V174">
        <v>591500</v>
      </c>
    </row>
    <row r="175" spans="1:22" x14ac:dyDescent="0.25">
      <c r="A175" t="s">
        <v>87</v>
      </c>
      <c r="B175" t="s">
        <v>88</v>
      </c>
      <c r="C175" t="str">
        <f t="shared" si="4"/>
        <v>2026</v>
      </c>
      <c r="D175" t="str">
        <f t="shared" si="5"/>
        <v>01</v>
      </c>
      <c r="E175" t="s">
        <v>89</v>
      </c>
      <c r="F175" t="s">
        <v>96</v>
      </c>
      <c r="G175" t="s">
        <v>97</v>
      </c>
      <c r="H175" t="s">
        <v>25</v>
      </c>
      <c r="I175" t="s">
        <v>26</v>
      </c>
      <c r="J175">
        <v>32</v>
      </c>
      <c r="K175">
        <v>123.91</v>
      </c>
      <c r="L175">
        <v>86.83</v>
      </c>
      <c r="M175">
        <v>0.70069999999999988</v>
      </c>
      <c r="N175">
        <v>-12.21</v>
      </c>
      <c r="O175">
        <v>-9.849999999999999E-2</v>
      </c>
      <c r="P175">
        <v>0.18</v>
      </c>
      <c r="Q175">
        <v>0.22699999999999998</v>
      </c>
      <c r="R175">
        <v>12.44</v>
      </c>
      <c r="S175">
        <v>130.88</v>
      </c>
      <c r="T175">
        <v>146.80000000000001</v>
      </c>
      <c r="U175">
        <v>6500</v>
      </c>
      <c r="V175">
        <v>591500</v>
      </c>
    </row>
    <row r="176" spans="1:22" x14ac:dyDescent="0.25">
      <c r="A176" t="s">
        <v>20</v>
      </c>
      <c r="B176" t="s">
        <v>21</v>
      </c>
      <c r="C176" t="str">
        <f t="shared" si="4"/>
        <v>2019</v>
      </c>
      <c r="D176" t="str">
        <f t="shared" si="5"/>
        <v>01</v>
      </c>
      <c r="E176" t="s">
        <v>22</v>
      </c>
      <c r="F176" t="s">
        <v>98</v>
      </c>
      <c r="G176" t="s">
        <v>99</v>
      </c>
      <c r="H176" t="s">
        <v>25</v>
      </c>
      <c r="I176" t="s">
        <v>26</v>
      </c>
      <c r="J176">
        <v>28</v>
      </c>
      <c r="K176">
        <v>169.72</v>
      </c>
      <c r="L176">
        <v>35.29</v>
      </c>
      <c r="M176">
        <v>0.2079</v>
      </c>
      <c r="N176">
        <v>21.36</v>
      </c>
      <c r="O176">
        <v>0.12590000000000001</v>
      </c>
      <c r="P176">
        <v>0.25</v>
      </c>
      <c r="Q176">
        <v>0.157</v>
      </c>
      <c r="R176">
        <v>0</v>
      </c>
      <c r="S176">
        <v>63</v>
      </c>
      <c r="T176">
        <v>74.58</v>
      </c>
      <c r="U176">
        <v>5200</v>
      </c>
      <c r="V176">
        <v>473200</v>
      </c>
    </row>
    <row r="177" spans="1:22" x14ac:dyDescent="0.25">
      <c r="A177" t="s">
        <v>27</v>
      </c>
      <c r="B177" t="s">
        <v>28</v>
      </c>
      <c r="C177" t="str">
        <f t="shared" si="4"/>
        <v>2019</v>
      </c>
      <c r="D177" t="str">
        <f t="shared" si="5"/>
        <v>04</v>
      </c>
      <c r="E177" t="s">
        <v>22</v>
      </c>
      <c r="F177" t="s">
        <v>98</v>
      </c>
      <c r="G177" t="s">
        <v>99</v>
      </c>
      <c r="H177" t="s">
        <v>25</v>
      </c>
      <c r="I177" t="s">
        <v>26</v>
      </c>
      <c r="J177">
        <v>28</v>
      </c>
      <c r="K177">
        <v>168.36</v>
      </c>
      <c r="L177">
        <v>34.700000000000003</v>
      </c>
      <c r="M177">
        <v>0.20610000000000001</v>
      </c>
      <c r="N177">
        <v>22.06</v>
      </c>
      <c r="O177">
        <v>0.13100000000000001</v>
      </c>
      <c r="P177">
        <v>0.25</v>
      </c>
      <c r="Q177">
        <v>0.11199999999999999</v>
      </c>
      <c r="R177">
        <v>0</v>
      </c>
      <c r="S177">
        <v>64.790000000000006</v>
      </c>
      <c r="T177">
        <v>73.34</v>
      </c>
      <c r="U177">
        <v>5200</v>
      </c>
      <c r="V177">
        <v>473200</v>
      </c>
    </row>
    <row r="178" spans="1:22" x14ac:dyDescent="0.25">
      <c r="A178" t="s">
        <v>29</v>
      </c>
      <c r="B178" t="s">
        <v>30</v>
      </c>
      <c r="C178" t="str">
        <f t="shared" si="4"/>
        <v>2019</v>
      </c>
      <c r="D178" t="str">
        <f t="shared" si="5"/>
        <v>07</v>
      </c>
      <c r="E178" t="s">
        <v>22</v>
      </c>
      <c r="F178" t="s">
        <v>98</v>
      </c>
      <c r="G178" t="s">
        <v>99</v>
      </c>
      <c r="H178" t="s">
        <v>25</v>
      </c>
      <c r="I178" t="s">
        <v>26</v>
      </c>
      <c r="J178">
        <v>28</v>
      </c>
      <c r="K178">
        <v>187.95</v>
      </c>
      <c r="L178">
        <v>33.65</v>
      </c>
      <c r="M178">
        <v>0.17899999999999999</v>
      </c>
      <c r="N178">
        <v>13.82</v>
      </c>
      <c r="O178">
        <v>7.3599999999999999E-2</v>
      </c>
      <c r="P178">
        <v>0.31</v>
      </c>
      <c r="Q178">
        <v>0.15</v>
      </c>
      <c r="R178">
        <v>0</v>
      </c>
      <c r="S178">
        <v>60.46</v>
      </c>
      <c r="T178">
        <v>71.11</v>
      </c>
      <c r="U178">
        <v>5200</v>
      </c>
      <c r="V178">
        <v>473200</v>
      </c>
    </row>
    <row r="179" spans="1:22" x14ac:dyDescent="0.25">
      <c r="A179" t="s">
        <v>31</v>
      </c>
      <c r="B179" t="s">
        <v>32</v>
      </c>
      <c r="C179" t="str">
        <f t="shared" si="4"/>
        <v>2019</v>
      </c>
      <c r="D179" t="str">
        <f t="shared" si="5"/>
        <v>10</v>
      </c>
      <c r="E179" t="s">
        <v>22</v>
      </c>
      <c r="F179" t="s">
        <v>98</v>
      </c>
      <c r="G179" t="s">
        <v>99</v>
      </c>
      <c r="H179" t="s">
        <v>25</v>
      </c>
      <c r="I179" t="s">
        <v>26</v>
      </c>
      <c r="J179">
        <v>28</v>
      </c>
      <c r="K179">
        <v>182.79</v>
      </c>
      <c r="L179">
        <v>36.42</v>
      </c>
      <c r="M179">
        <v>0.1993</v>
      </c>
      <c r="N179">
        <v>11.55</v>
      </c>
      <c r="O179">
        <v>6.3200000000000006E-2</v>
      </c>
      <c r="P179">
        <v>0.28999999999999998</v>
      </c>
      <c r="Q179">
        <v>0.28699999999999998</v>
      </c>
      <c r="R179">
        <v>0</v>
      </c>
      <c r="S179">
        <v>65.66</v>
      </c>
      <c r="T179">
        <v>76.97</v>
      </c>
      <c r="U179">
        <v>5200</v>
      </c>
      <c r="V179">
        <v>473200</v>
      </c>
    </row>
    <row r="180" spans="1:22" x14ac:dyDescent="0.25">
      <c r="A180" t="s">
        <v>33</v>
      </c>
      <c r="B180" t="s">
        <v>34</v>
      </c>
      <c r="C180" t="str">
        <f t="shared" si="4"/>
        <v>2020</v>
      </c>
      <c r="D180" t="str">
        <f t="shared" si="5"/>
        <v>01</v>
      </c>
      <c r="E180" t="s">
        <v>22</v>
      </c>
      <c r="F180" t="s">
        <v>98</v>
      </c>
      <c r="G180" t="s">
        <v>99</v>
      </c>
      <c r="H180" t="s">
        <v>25</v>
      </c>
      <c r="I180" t="s">
        <v>26</v>
      </c>
      <c r="J180">
        <v>28</v>
      </c>
      <c r="K180">
        <v>184.42</v>
      </c>
      <c r="L180">
        <v>35.67</v>
      </c>
      <c r="M180">
        <v>0.19339999999999999</v>
      </c>
      <c r="N180">
        <v>20.84</v>
      </c>
      <c r="O180">
        <v>0.113</v>
      </c>
      <c r="P180">
        <v>0.31</v>
      </c>
      <c r="Q180">
        <v>0.245</v>
      </c>
      <c r="R180">
        <v>0</v>
      </c>
      <c r="S180">
        <v>66.66</v>
      </c>
      <c r="T180">
        <v>75.38</v>
      </c>
      <c r="U180">
        <v>5200</v>
      </c>
      <c r="V180">
        <v>473200</v>
      </c>
    </row>
    <row r="181" spans="1:22" x14ac:dyDescent="0.25">
      <c r="A181" t="s">
        <v>35</v>
      </c>
      <c r="B181" t="s">
        <v>36</v>
      </c>
      <c r="C181" t="str">
        <f t="shared" si="4"/>
        <v>2020</v>
      </c>
      <c r="D181" t="str">
        <f t="shared" si="5"/>
        <v>04</v>
      </c>
      <c r="E181" t="s">
        <v>37</v>
      </c>
      <c r="F181" t="s">
        <v>98</v>
      </c>
      <c r="G181" t="s">
        <v>99</v>
      </c>
      <c r="H181" t="s">
        <v>25</v>
      </c>
      <c r="I181" t="s">
        <v>26</v>
      </c>
      <c r="J181">
        <v>28</v>
      </c>
      <c r="K181">
        <v>52.65</v>
      </c>
      <c r="L181">
        <v>11.21</v>
      </c>
      <c r="M181">
        <v>0.21289999999999998</v>
      </c>
      <c r="N181">
        <v>-10.94</v>
      </c>
      <c r="O181">
        <v>-0.20780000000000001</v>
      </c>
      <c r="P181">
        <v>0.08</v>
      </c>
      <c r="Q181">
        <v>0.18899999999999997</v>
      </c>
      <c r="R181">
        <v>0</v>
      </c>
      <c r="S181">
        <v>20.57</v>
      </c>
      <c r="T181">
        <v>23.69</v>
      </c>
      <c r="U181">
        <v>5200</v>
      </c>
      <c r="V181">
        <v>473200</v>
      </c>
    </row>
    <row r="182" spans="1:22" x14ac:dyDescent="0.25">
      <c r="A182" t="s">
        <v>38</v>
      </c>
      <c r="B182" t="s">
        <v>39</v>
      </c>
      <c r="C182" t="str">
        <f t="shared" si="4"/>
        <v>2020</v>
      </c>
      <c r="D182" t="str">
        <f t="shared" si="5"/>
        <v>07</v>
      </c>
      <c r="E182" t="s">
        <v>37</v>
      </c>
      <c r="F182" t="s">
        <v>98</v>
      </c>
      <c r="G182" t="s">
        <v>99</v>
      </c>
      <c r="H182" t="s">
        <v>25</v>
      </c>
      <c r="I182" t="s">
        <v>26</v>
      </c>
      <c r="J182">
        <v>28</v>
      </c>
      <c r="K182">
        <v>53.17</v>
      </c>
      <c r="L182">
        <v>23.86</v>
      </c>
      <c r="M182">
        <v>0.44880000000000003</v>
      </c>
      <c r="N182">
        <v>-18</v>
      </c>
      <c r="O182">
        <v>-0.33860000000000001</v>
      </c>
      <c r="P182">
        <v>0.08</v>
      </c>
      <c r="Q182">
        <v>0.35499999999999998</v>
      </c>
      <c r="R182">
        <v>0</v>
      </c>
      <c r="S182">
        <v>44.05</v>
      </c>
      <c r="T182">
        <v>50.43</v>
      </c>
      <c r="U182">
        <v>5200</v>
      </c>
      <c r="V182">
        <v>473200</v>
      </c>
    </row>
    <row r="183" spans="1:22" x14ac:dyDescent="0.25">
      <c r="A183" t="s">
        <v>40</v>
      </c>
      <c r="B183" t="s">
        <v>41</v>
      </c>
      <c r="C183" t="str">
        <f t="shared" si="4"/>
        <v>2020</v>
      </c>
      <c r="D183" t="str">
        <f t="shared" si="5"/>
        <v>10</v>
      </c>
      <c r="E183" t="s">
        <v>37</v>
      </c>
      <c r="F183" t="s">
        <v>98</v>
      </c>
      <c r="G183" t="s">
        <v>99</v>
      </c>
      <c r="H183" t="s">
        <v>25</v>
      </c>
      <c r="I183" t="s">
        <v>26</v>
      </c>
      <c r="J183">
        <v>28</v>
      </c>
      <c r="K183">
        <v>58.99</v>
      </c>
      <c r="L183">
        <v>21.61</v>
      </c>
      <c r="M183">
        <v>0.36619999999999997</v>
      </c>
      <c r="N183">
        <v>-25.31</v>
      </c>
      <c r="O183">
        <v>-0.42899999999999999</v>
      </c>
      <c r="P183">
        <v>0.09</v>
      </c>
      <c r="Q183">
        <v>7.2000000000000008E-2</v>
      </c>
      <c r="R183">
        <v>0</v>
      </c>
      <c r="S183">
        <v>39.950000000000003</v>
      </c>
      <c r="T183">
        <v>45.66</v>
      </c>
      <c r="U183">
        <v>5200</v>
      </c>
      <c r="V183">
        <v>473200</v>
      </c>
    </row>
    <row r="184" spans="1:22" x14ac:dyDescent="0.25">
      <c r="A184" t="s">
        <v>42</v>
      </c>
      <c r="B184" t="s">
        <v>43</v>
      </c>
      <c r="C184" t="str">
        <f t="shared" si="4"/>
        <v>2021</v>
      </c>
      <c r="D184" t="str">
        <f t="shared" si="5"/>
        <v>01</v>
      </c>
      <c r="E184" t="s">
        <v>37</v>
      </c>
      <c r="F184" t="s">
        <v>98</v>
      </c>
      <c r="G184" t="s">
        <v>99</v>
      </c>
      <c r="H184" t="s">
        <v>25</v>
      </c>
      <c r="I184" t="s">
        <v>26</v>
      </c>
      <c r="J184">
        <v>28</v>
      </c>
      <c r="K184">
        <v>57.18</v>
      </c>
      <c r="L184">
        <v>40.590000000000003</v>
      </c>
      <c r="M184">
        <v>0.70989999999999998</v>
      </c>
      <c r="N184">
        <v>-23.77</v>
      </c>
      <c r="O184">
        <v>-0.4158</v>
      </c>
      <c r="P184">
        <v>0.08</v>
      </c>
      <c r="Q184">
        <v>0.626</v>
      </c>
      <c r="R184">
        <v>0</v>
      </c>
      <c r="S184">
        <v>75.489999999999995</v>
      </c>
      <c r="T184">
        <v>85.77</v>
      </c>
      <c r="U184">
        <v>5200</v>
      </c>
      <c r="V184">
        <v>473200</v>
      </c>
    </row>
    <row r="185" spans="1:22" x14ac:dyDescent="0.25">
      <c r="A185" t="s">
        <v>44</v>
      </c>
      <c r="B185" t="s">
        <v>45</v>
      </c>
      <c r="C185" t="str">
        <f t="shared" si="4"/>
        <v>2021</v>
      </c>
      <c r="D185" t="str">
        <f t="shared" si="5"/>
        <v>04</v>
      </c>
      <c r="E185" t="s">
        <v>37</v>
      </c>
      <c r="F185" t="s">
        <v>98</v>
      </c>
      <c r="G185" t="s">
        <v>99</v>
      </c>
      <c r="H185" t="s">
        <v>25</v>
      </c>
      <c r="I185" t="s">
        <v>26</v>
      </c>
      <c r="J185">
        <v>28</v>
      </c>
      <c r="K185">
        <v>45.97</v>
      </c>
      <c r="L185">
        <v>43.02</v>
      </c>
      <c r="M185">
        <v>0.93599999999999994</v>
      </c>
      <c r="N185">
        <v>-11.19</v>
      </c>
      <c r="O185">
        <v>-0.24350000000000002</v>
      </c>
      <c r="P185">
        <v>7.0000000000000007E-2</v>
      </c>
      <c r="Q185">
        <v>0.28300000000000003</v>
      </c>
      <c r="R185">
        <v>0.12</v>
      </c>
      <c r="S185">
        <v>76.83</v>
      </c>
      <c r="T185">
        <v>90.92</v>
      </c>
      <c r="U185">
        <v>5200</v>
      </c>
      <c r="V185">
        <v>473200</v>
      </c>
    </row>
    <row r="186" spans="1:22" x14ac:dyDescent="0.25">
      <c r="A186" t="s">
        <v>46</v>
      </c>
      <c r="B186" t="s">
        <v>47</v>
      </c>
      <c r="C186" t="str">
        <f t="shared" si="4"/>
        <v>2021</v>
      </c>
      <c r="D186" t="str">
        <f t="shared" si="5"/>
        <v>07</v>
      </c>
      <c r="E186" t="s">
        <v>48</v>
      </c>
      <c r="F186" t="s">
        <v>98</v>
      </c>
      <c r="G186" t="s">
        <v>99</v>
      </c>
      <c r="H186" t="s">
        <v>25</v>
      </c>
      <c r="I186" t="s">
        <v>26</v>
      </c>
      <c r="J186">
        <v>28</v>
      </c>
      <c r="K186">
        <v>145.66</v>
      </c>
      <c r="L186">
        <v>42.55</v>
      </c>
      <c r="M186">
        <v>0.29210000000000003</v>
      </c>
      <c r="N186">
        <v>11.46</v>
      </c>
      <c r="O186">
        <v>7.8700000000000006E-2</v>
      </c>
      <c r="P186">
        <v>0.23</v>
      </c>
      <c r="Q186">
        <v>0.59699999999999998</v>
      </c>
      <c r="R186">
        <v>0</v>
      </c>
      <c r="S186">
        <v>78.97</v>
      </c>
      <c r="T186">
        <v>89.92</v>
      </c>
      <c r="U186">
        <v>5200</v>
      </c>
      <c r="V186">
        <v>473200</v>
      </c>
    </row>
    <row r="187" spans="1:22" x14ac:dyDescent="0.25">
      <c r="A187" t="s">
        <v>49</v>
      </c>
      <c r="B187" t="s">
        <v>50</v>
      </c>
      <c r="C187" t="str">
        <f t="shared" si="4"/>
        <v>2021</v>
      </c>
      <c r="D187" t="str">
        <f t="shared" si="5"/>
        <v>10</v>
      </c>
      <c r="E187" t="s">
        <v>48</v>
      </c>
      <c r="F187" t="s">
        <v>98</v>
      </c>
      <c r="G187" t="s">
        <v>99</v>
      </c>
      <c r="H187" t="s">
        <v>25</v>
      </c>
      <c r="I187" t="s">
        <v>26</v>
      </c>
      <c r="J187">
        <v>28</v>
      </c>
      <c r="K187">
        <v>143.94999999999999</v>
      </c>
      <c r="L187">
        <v>49.33</v>
      </c>
      <c r="M187">
        <v>0.3427</v>
      </c>
      <c r="N187">
        <v>2.98</v>
      </c>
      <c r="O187">
        <v>2.07E-2</v>
      </c>
      <c r="P187">
        <v>0.24</v>
      </c>
      <c r="Q187">
        <v>0.13699999999999998</v>
      </c>
      <c r="R187">
        <v>1.07</v>
      </c>
      <c r="S187">
        <v>86.82</v>
      </c>
      <c r="T187">
        <v>104.25</v>
      </c>
      <c r="U187">
        <v>5200</v>
      </c>
      <c r="V187">
        <v>473200</v>
      </c>
    </row>
    <row r="188" spans="1:22" x14ac:dyDescent="0.25">
      <c r="A188" t="s">
        <v>51</v>
      </c>
      <c r="B188" t="s">
        <v>52</v>
      </c>
      <c r="C188" t="str">
        <f t="shared" si="4"/>
        <v>2022</v>
      </c>
      <c r="D188" t="str">
        <f t="shared" si="5"/>
        <v>01</v>
      </c>
      <c r="E188" t="s">
        <v>48</v>
      </c>
      <c r="F188" t="s">
        <v>98</v>
      </c>
      <c r="G188" t="s">
        <v>99</v>
      </c>
      <c r="H188" t="s">
        <v>25</v>
      </c>
      <c r="I188" t="s">
        <v>26</v>
      </c>
      <c r="J188">
        <v>28</v>
      </c>
      <c r="K188">
        <v>144.72</v>
      </c>
      <c r="L188">
        <v>38.54</v>
      </c>
      <c r="M188">
        <v>0.26629999999999998</v>
      </c>
      <c r="N188">
        <v>-1.42</v>
      </c>
      <c r="O188">
        <v>-9.7999999999999997E-3</v>
      </c>
      <c r="P188">
        <v>0.2</v>
      </c>
      <c r="Q188">
        <v>0.51200000000000001</v>
      </c>
      <c r="R188">
        <v>0</v>
      </c>
      <c r="S188">
        <v>72.010000000000005</v>
      </c>
      <c r="T188">
        <v>81.44</v>
      </c>
      <c r="U188">
        <v>5200</v>
      </c>
      <c r="V188">
        <v>473200</v>
      </c>
    </row>
    <row r="189" spans="1:22" x14ac:dyDescent="0.25">
      <c r="A189" t="s">
        <v>53</v>
      </c>
      <c r="B189" t="s">
        <v>54</v>
      </c>
      <c r="C189" t="str">
        <f t="shared" si="4"/>
        <v>2022</v>
      </c>
      <c r="D189" t="str">
        <f t="shared" si="5"/>
        <v>04</v>
      </c>
      <c r="E189" t="s">
        <v>55</v>
      </c>
      <c r="F189" t="s">
        <v>98</v>
      </c>
      <c r="G189" t="s">
        <v>99</v>
      </c>
      <c r="H189" t="s">
        <v>25</v>
      </c>
      <c r="I189" t="s">
        <v>26</v>
      </c>
      <c r="J189">
        <v>28</v>
      </c>
      <c r="K189">
        <v>190.05</v>
      </c>
      <c r="L189">
        <v>62.29</v>
      </c>
      <c r="M189">
        <v>0.32770000000000005</v>
      </c>
      <c r="N189">
        <v>7.1</v>
      </c>
      <c r="O189">
        <v>3.73E-2</v>
      </c>
      <c r="P189">
        <v>0.3</v>
      </c>
      <c r="Q189">
        <v>0.48700000000000004</v>
      </c>
      <c r="R189">
        <v>14.03</v>
      </c>
      <c r="S189">
        <v>109.53</v>
      </c>
      <c r="T189">
        <v>131.63</v>
      </c>
      <c r="U189">
        <v>5200</v>
      </c>
      <c r="V189">
        <v>473200</v>
      </c>
    </row>
    <row r="190" spans="1:22" x14ac:dyDescent="0.25">
      <c r="A190" t="s">
        <v>56</v>
      </c>
      <c r="B190" t="s">
        <v>57</v>
      </c>
      <c r="C190" t="str">
        <f t="shared" si="4"/>
        <v>2022</v>
      </c>
      <c r="D190" t="str">
        <f t="shared" si="5"/>
        <v>07</v>
      </c>
      <c r="E190" t="s">
        <v>55</v>
      </c>
      <c r="F190" t="s">
        <v>98</v>
      </c>
      <c r="G190" t="s">
        <v>99</v>
      </c>
      <c r="H190" t="s">
        <v>25</v>
      </c>
      <c r="I190" t="s">
        <v>26</v>
      </c>
      <c r="J190">
        <v>28</v>
      </c>
      <c r="K190">
        <v>169.11</v>
      </c>
      <c r="L190">
        <v>44.71</v>
      </c>
      <c r="M190">
        <v>0.26440000000000002</v>
      </c>
      <c r="N190">
        <v>5.37</v>
      </c>
      <c r="O190">
        <v>3.1800000000000002E-2</v>
      </c>
      <c r="P190">
        <v>0.26</v>
      </c>
      <c r="Q190">
        <v>0.29699999999999999</v>
      </c>
      <c r="R190">
        <v>0.66</v>
      </c>
      <c r="S190">
        <v>80.69</v>
      </c>
      <c r="T190">
        <v>94.49</v>
      </c>
      <c r="U190">
        <v>5200</v>
      </c>
      <c r="V190">
        <v>473200</v>
      </c>
    </row>
    <row r="191" spans="1:22" x14ac:dyDescent="0.25">
      <c r="A191" t="s">
        <v>58</v>
      </c>
      <c r="B191" t="s">
        <v>59</v>
      </c>
      <c r="C191" t="str">
        <f t="shared" si="4"/>
        <v>2022</v>
      </c>
      <c r="D191" t="str">
        <f t="shared" si="5"/>
        <v>10</v>
      </c>
      <c r="E191" t="s">
        <v>55</v>
      </c>
      <c r="F191" t="s">
        <v>98</v>
      </c>
      <c r="G191" t="s">
        <v>99</v>
      </c>
      <c r="H191" t="s">
        <v>25</v>
      </c>
      <c r="I191" t="s">
        <v>26</v>
      </c>
      <c r="J191">
        <v>28</v>
      </c>
      <c r="K191">
        <v>183.48</v>
      </c>
      <c r="L191">
        <v>49.95</v>
      </c>
      <c r="M191">
        <v>0.2722</v>
      </c>
      <c r="N191">
        <v>6.59</v>
      </c>
      <c r="O191">
        <v>3.5900000000000001E-2</v>
      </c>
      <c r="P191">
        <v>0.3</v>
      </c>
      <c r="Q191">
        <v>0.32600000000000001</v>
      </c>
      <c r="R191">
        <v>2.82</v>
      </c>
      <c r="S191">
        <v>93.25</v>
      </c>
      <c r="T191">
        <v>105.56</v>
      </c>
      <c r="U191">
        <v>5200</v>
      </c>
      <c r="V191">
        <v>473200</v>
      </c>
    </row>
    <row r="192" spans="1:22" x14ac:dyDescent="0.25">
      <c r="A192" t="s">
        <v>60</v>
      </c>
      <c r="B192" t="s">
        <v>61</v>
      </c>
      <c r="C192" t="str">
        <f t="shared" si="4"/>
        <v>2023</v>
      </c>
      <c r="D192" t="str">
        <f t="shared" si="5"/>
        <v>01</v>
      </c>
      <c r="E192" t="s">
        <v>62</v>
      </c>
      <c r="F192" t="s">
        <v>98</v>
      </c>
      <c r="G192" t="s">
        <v>99</v>
      </c>
      <c r="H192" t="s">
        <v>25</v>
      </c>
      <c r="I192" t="s">
        <v>26</v>
      </c>
      <c r="J192">
        <v>28</v>
      </c>
      <c r="K192">
        <v>186.81</v>
      </c>
      <c r="L192">
        <v>45.96</v>
      </c>
      <c r="M192">
        <v>0.24600000000000002</v>
      </c>
      <c r="N192">
        <v>18.04</v>
      </c>
      <c r="O192">
        <v>9.6600000000000005E-2</v>
      </c>
      <c r="P192">
        <v>0.28999999999999998</v>
      </c>
      <c r="Q192">
        <v>0.18600000000000003</v>
      </c>
      <c r="R192">
        <v>0.68</v>
      </c>
      <c r="S192">
        <v>84.29</v>
      </c>
      <c r="T192">
        <v>97.13</v>
      </c>
      <c r="U192">
        <v>5200</v>
      </c>
      <c r="V192">
        <v>473200</v>
      </c>
    </row>
    <row r="193" spans="1:22" x14ac:dyDescent="0.25">
      <c r="A193" t="s">
        <v>63</v>
      </c>
      <c r="B193" t="s">
        <v>64</v>
      </c>
      <c r="C193" t="str">
        <f t="shared" si="4"/>
        <v>2023</v>
      </c>
      <c r="D193" t="str">
        <f t="shared" si="5"/>
        <v>04</v>
      </c>
      <c r="E193" t="s">
        <v>62</v>
      </c>
      <c r="F193" t="s">
        <v>98</v>
      </c>
      <c r="G193" t="s">
        <v>99</v>
      </c>
      <c r="H193" t="s">
        <v>25</v>
      </c>
      <c r="I193" t="s">
        <v>26</v>
      </c>
      <c r="J193">
        <v>28</v>
      </c>
      <c r="K193">
        <v>168.67</v>
      </c>
      <c r="L193">
        <v>48.25</v>
      </c>
      <c r="M193">
        <v>0.28610000000000002</v>
      </c>
      <c r="N193">
        <v>13.02</v>
      </c>
      <c r="O193">
        <v>7.7199999999999991E-2</v>
      </c>
      <c r="P193">
        <v>0.26</v>
      </c>
      <c r="Q193">
        <v>0.36899999999999999</v>
      </c>
      <c r="R193">
        <v>2.37</v>
      </c>
      <c r="S193">
        <v>88.18</v>
      </c>
      <c r="T193">
        <v>101.97</v>
      </c>
      <c r="U193">
        <v>5200</v>
      </c>
      <c r="V193">
        <v>473200</v>
      </c>
    </row>
    <row r="194" spans="1:22" x14ac:dyDescent="0.25">
      <c r="A194" t="s">
        <v>65</v>
      </c>
      <c r="B194" t="s">
        <v>66</v>
      </c>
      <c r="C194" t="str">
        <f t="shared" si="4"/>
        <v>2023</v>
      </c>
      <c r="D194" t="str">
        <f t="shared" si="5"/>
        <v>07</v>
      </c>
      <c r="E194" t="s">
        <v>62</v>
      </c>
      <c r="F194" t="s">
        <v>98</v>
      </c>
      <c r="G194" t="s">
        <v>99</v>
      </c>
      <c r="H194" t="s">
        <v>25</v>
      </c>
      <c r="I194" t="s">
        <v>26</v>
      </c>
      <c r="J194">
        <v>28</v>
      </c>
      <c r="K194">
        <v>185.81</v>
      </c>
      <c r="L194">
        <v>46.15</v>
      </c>
      <c r="M194">
        <v>0.24840000000000001</v>
      </c>
      <c r="N194">
        <v>16.05</v>
      </c>
      <c r="O194">
        <v>8.6400000000000005E-2</v>
      </c>
      <c r="P194">
        <v>0.28000000000000003</v>
      </c>
      <c r="Q194">
        <v>0.56799999999999995</v>
      </c>
      <c r="R194">
        <v>2.19</v>
      </c>
      <c r="S194">
        <v>85.16</v>
      </c>
      <c r="T194">
        <v>97.52</v>
      </c>
      <c r="U194">
        <v>5200</v>
      </c>
      <c r="V194">
        <v>473200</v>
      </c>
    </row>
    <row r="195" spans="1:22" x14ac:dyDescent="0.25">
      <c r="A195" t="s">
        <v>67</v>
      </c>
      <c r="B195" t="s">
        <v>68</v>
      </c>
      <c r="C195" t="str">
        <f t="shared" ref="C195:C258" si="6">LEFT(B195,4)</f>
        <v>2023</v>
      </c>
      <c r="D195" t="str">
        <f t="shared" ref="D195:D258" si="7">RIGHT(B195,2)</f>
        <v>10</v>
      </c>
      <c r="E195" t="s">
        <v>69</v>
      </c>
      <c r="F195" t="s">
        <v>98</v>
      </c>
      <c r="G195" t="s">
        <v>99</v>
      </c>
      <c r="H195" t="s">
        <v>25</v>
      </c>
      <c r="I195" t="s">
        <v>26</v>
      </c>
      <c r="J195">
        <v>28</v>
      </c>
      <c r="K195">
        <v>182.95</v>
      </c>
      <c r="L195">
        <v>42.57</v>
      </c>
      <c r="M195">
        <v>0.23269999999999999</v>
      </c>
      <c r="N195">
        <v>12.93</v>
      </c>
      <c r="O195">
        <v>7.0699999999999999E-2</v>
      </c>
      <c r="P195">
        <v>0.27</v>
      </c>
      <c r="Q195">
        <v>0.18899999999999997</v>
      </c>
      <c r="R195">
        <v>0</v>
      </c>
      <c r="S195">
        <v>78.33</v>
      </c>
      <c r="T195">
        <v>89.96</v>
      </c>
      <c r="U195">
        <v>5200</v>
      </c>
      <c r="V195">
        <v>473200</v>
      </c>
    </row>
    <row r="196" spans="1:22" x14ac:dyDescent="0.25">
      <c r="A196" t="s">
        <v>70</v>
      </c>
      <c r="B196" t="s">
        <v>71</v>
      </c>
      <c r="C196" t="str">
        <f t="shared" si="6"/>
        <v>2024</v>
      </c>
      <c r="D196" t="str">
        <f t="shared" si="7"/>
        <v>01</v>
      </c>
      <c r="E196" t="s">
        <v>69</v>
      </c>
      <c r="F196" t="s">
        <v>98</v>
      </c>
      <c r="G196" t="s">
        <v>99</v>
      </c>
      <c r="H196" t="s">
        <v>25</v>
      </c>
      <c r="I196" t="s">
        <v>26</v>
      </c>
      <c r="J196">
        <v>28</v>
      </c>
      <c r="K196">
        <v>169.06</v>
      </c>
      <c r="L196">
        <v>46.86</v>
      </c>
      <c r="M196">
        <v>0.2772</v>
      </c>
      <c r="N196">
        <v>22.04</v>
      </c>
      <c r="O196">
        <v>0.1303</v>
      </c>
      <c r="P196">
        <v>0.27</v>
      </c>
      <c r="Q196">
        <v>0.56100000000000005</v>
      </c>
      <c r="R196">
        <v>2.63</v>
      </c>
      <c r="S196">
        <v>84.61</v>
      </c>
      <c r="T196">
        <v>99.02</v>
      </c>
      <c r="U196">
        <v>5200</v>
      </c>
      <c r="V196">
        <v>473200</v>
      </c>
    </row>
    <row r="197" spans="1:22" x14ac:dyDescent="0.25">
      <c r="A197" t="s">
        <v>72</v>
      </c>
      <c r="B197" t="s">
        <v>73</v>
      </c>
      <c r="C197" t="str">
        <f t="shared" si="6"/>
        <v>2024</v>
      </c>
      <c r="D197" t="str">
        <f t="shared" si="7"/>
        <v>04</v>
      </c>
      <c r="E197" t="s">
        <v>69</v>
      </c>
      <c r="F197" t="s">
        <v>98</v>
      </c>
      <c r="G197" t="s">
        <v>99</v>
      </c>
      <c r="H197" t="s">
        <v>25</v>
      </c>
      <c r="I197" t="s">
        <v>26</v>
      </c>
      <c r="J197">
        <v>28</v>
      </c>
      <c r="K197">
        <v>184.91</v>
      </c>
      <c r="L197">
        <v>48.16</v>
      </c>
      <c r="M197">
        <v>0.26050000000000001</v>
      </c>
      <c r="N197">
        <v>10.23</v>
      </c>
      <c r="O197">
        <v>5.5300000000000002E-2</v>
      </c>
      <c r="P197">
        <v>0.28000000000000003</v>
      </c>
      <c r="Q197">
        <v>0.63200000000000001</v>
      </c>
      <c r="R197">
        <v>3.98</v>
      </c>
      <c r="S197">
        <v>84.06</v>
      </c>
      <c r="T197">
        <v>101.78</v>
      </c>
      <c r="U197">
        <v>5200</v>
      </c>
      <c r="V197">
        <v>473200</v>
      </c>
    </row>
    <row r="198" spans="1:22" x14ac:dyDescent="0.25">
      <c r="A198" t="s">
        <v>74</v>
      </c>
      <c r="B198" t="s">
        <v>75</v>
      </c>
      <c r="C198" t="str">
        <f t="shared" si="6"/>
        <v>2024</v>
      </c>
      <c r="D198" t="str">
        <f t="shared" si="7"/>
        <v>07</v>
      </c>
      <c r="E198" t="s">
        <v>69</v>
      </c>
      <c r="F198" t="s">
        <v>98</v>
      </c>
      <c r="G198" t="s">
        <v>99</v>
      </c>
      <c r="H198" t="s">
        <v>25</v>
      </c>
      <c r="I198" t="s">
        <v>26</v>
      </c>
      <c r="J198">
        <v>28</v>
      </c>
      <c r="K198">
        <v>171.57</v>
      </c>
      <c r="L198">
        <v>44.47</v>
      </c>
      <c r="M198">
        <v>0.25920000000000004</v>
      </c>
      <c r="N198">
        <v>7.72</v>
      </c>
      <c r="O198">
        <v>4.4999999999999998E-2</v>
      </c>
      <c r="P198">
        <v>0.26</v>
      </c>
      <c r="Q198">
        <v>0.33200000000000002</v>
      </c>
      <c r="R198">
        <v>0.65</v>
      </c>
      <c r="S198">
        <v>80.400000000000006</v>
      </c>
      <c r="T198">
        <v>93.98</v>
      </c>
      <c r="U198">
        <v>5200</v>
      </c>
      <c r="V198">
        <v>473200</v>
      </c>
    </row>
    <row r="199" spans="1:22" x14ac:dyDescent="0.25">
      <c r="A199" t="s">
        <v>76</v>
      </c>
      <c r="B199" t="s">
        <v>77</v>
      </c>
      <c r="C199" t="str">
        <f t="shared" si="6"/>
        <v>2024</v>
      </c>
      <c r="D199" t="str">
        <f t="shared" si="7"/>
        <v>10</v>
      </c>
      <c r="E199" t="s">
        <v>69</v>
      </c>
      <c r="F199" t="s">
        <v>98</v>
      </c>
      <c r="G199" t="s">
        <v>99</v>
      </c>
      <c r="H199" t="s">
        <v>25</v>
      </c>
      <c r="I199" t="s">
        <v>26</v>
      </c>
      <c r="J199">
        <v>28</v>
      </c>
      <c r="K199">
        <v>167.52</v>
      </c>
      <c r="L199">
        <v>53.24</v>
      </c>
      <c r="M199">
        <v>0.31780000000000003</v>
      </c>
      <c r="N199">
        <v>13.85</v>
      </c>
      <c r="O199">
        <v>8.2699999999999996E-2</v>
      </c>
      <c r="P199">
        <v>0.25</v>
      </c>
      <c r="Q199">
        <v>0.13800000000000001</v>
      </c>
      <c r="R199">
        <v>1.84</v>
      </c>
      <c r="S199">
        <v>94.78</v>
      </c>
      <c r="T199">
        <v>112.52</v>
      </c>
      <c r="U199">
        <v>5200</v>
      </c>
      <c r="V199">
        <v>473200</v>
      </c>
    </row>
    <row r="200" spans="1:22" x14ac:dyDescent="0.25">
      <c r="A200" t="s">
        <v>78</v>
      </c>
      <c r="B200" t="s">
        <v>79</v>
      </c>
      <c r="C200" t="str">
        <f t="shared" si="6"/>
        <v>2025</v>
      </c>
      <c r="D200" t="str">
        <f t="shared" si="7"/>
        <v>01</v>
      </c>
      <c r="E200" t="s">
        <v>80</v>
      </c>
      <c r="F200" t="s">
        <v>98</v>
      </c>
      <c r="G200" t="s">
        <v>99</v>
      </c>
      <c r="H200" t="s">
        <v>25</v>
      </c>
      <c r="I200" t="s">
        <v>26</v>
      </c>
      <c r="J200">
        <v>28</v>
      </c>
      <c r="K200">
        <v>172.25</v>
      </c>
      <c r="L200">
        <v>48.05</v>
      </c>
      <c r="M200">
        <v>0.27889999999999998</v>
      </c>
      <c r="N200">
        <v>8.7100000000000009</v>
      </c>
      <c r="O200">
        <v>5.0499999999999996E-2</v>
      </c>
      <c r="P200">
        <v>0.24</v>
      </c>
      <c r="Q200">
        <v>0.38700000000000001</v>
      </c>
      <c r="R200">
        <v>2.38</v>
      </c>
      <c r="S200">
        <v>85.13</v>
      </c>
      <c r="T200">
        <v>101.54</v>
      </c>
      <c r="U200">
        <v>5200</v>
      </c>
      <c r="V200">
        <v>473200</v>
      </c>
    </row>
    <row r="201" spans="1:22" x14ac:dyDescent="0.25">
      <c r="A201" t="s">
        <v>81</v>
      </c>
      <c r="B201" t="s">
        <v>82</v>
      </c>
      <c r="C201" t="str">
        <f t="shared" si="6"/>
        <v>2025</v>
      </c>
      <c r="D201" t="str">
        <f t="shared" si="7"/>
        <v>04</v>
      </c>
      <c r="E201" t="s">
        <v>80</v>
      </c>
      <c r="F201" t="s">
        <v>98</v>
      </c>
      <c r="G201" t="s">
        <v>99</v>
      </c>
      <c r="H201" t="s">
        <v>25</v>
      </c>
      <c r="I201" t="s">
        <v>26</v>
      </c>
      <c r="J201">
        <v>28</v>
      </c>
      <c r="K201">
        <v>187.81</v>
      </c>
      <c r="L201">
        <v>56.99</v>
      </c>
      <c r="M201">
        <v>0.3034</v>
      </c>
      <c r="N201">
        <v>22.63</v>
      </c>
      <c r="O201">
        <v>0.12050000000000001</v>
      </c>
      <c r="P201">
        <v>0.31</v>
      </c>
      <c r="Q201">
        <v>0.47799999999999998</v>
      </c>
      <c r="R201">
        <v>9.2100000000000009</v>
      </c>
      <c r="S201">
        <v>101.77</v>
      </c>
      <c r="T201">
        <v>120.43</v>
      </c>
      <c r="U201">
        <v>5200</v>
      </c>
      <c r="V201">
        <v>473200</v>
      </c>
    </row>
    <row r="202" spans="1:22" x14ac:dyDescent="0.25">
      <c r="A202" t="s">
        <v>83</v>
      </c>
      <c r="B202" t="s">
        <v>84</v>
      </c>
      <c r="C202" t="str">
        <f t="shared" si="6"/>
        <v>2025</v>
      </c>
      <c r="D202" t="str">
        <f t="shared" si="7"/>
        <v>07</v>
      </c>
      <c r="E202" t="s">
        <v>80</v>
      </c>
      <c r="F202" t="s">
        <v>98</v>
      </c>
      <c r="G202" t="s">
        <v>99</v>
      </c>
      <c r="H202" t="s">
        <v>25</v>
      </c>
      <c r="I202" t="s">
        <v>26</v>
      </c>
      <c r="J202">
        <v>28</v>
      </c>
      <c r="K202">
        <v>188</v>
      </c>
      <c r="L202">
        <v>53.1</v>
      </c>
      <c r="M202">
        <v>0.28249999999999997</v>
      </c>
      <c r="N202">
        <v>25.39</v>
      </c>
      <c r="O202">
        <v>0.1351</v>
      </c>
      <c r="P202">
        <v>0.31</v>
      </c>
      <c r="Q202">
        <v>0.46500000000000002</v>
      </c>
      <c r="R202">
        <v>6.1</v>
      </c>
      <c r="S202">
        <v>93.24</v>
      </c>
      <c r="T202">
        <v>112.22</v>
      </c>
      <c r="U202">
        <v>5200</v>
      </c>
      <c r="V202">
        <v>473200</v>
      </c>
    </row>
    <row r="203" spans="1:22" x14ac:dyDescent="0.25">
      <c r="A203" t="s">
        <v>85</v>
      </c>
      <c r="B203" t="s">
        <v>86</v>
      </c>
      <c r="C203" t="str">
        <f t="shared" si="6"/>
        <v>2025</v>
      </c>
      <c r="D203" t="str">
        <f t="shared" si="7"/>
        <v>10</v>
      </c>
      <c r="E203" t="s">
        <v>80</v>
      </c>
      <c r="F203" t="s">
        <v>98</v>
      </c>
      <c r="G203" t="s">
        <v>99</v>
      </c>
      <c r="H203" t="s">
        <v>25</v>
      </c>
      <c r="I203" t="s">
        <v>26</v>
      </c>
      <c r="J203">
        <v>28</v>
      </c>
      <c r="K203">
        <v>173.2</v>
      </c>
      <c r="L203">
        <v>52.84</v>
      </c>
      <c r="M203">
        <v>0.30510000000000004</v>
      </c>
      <c r="N203">
        <v>8.51</v>
      </c>
      <c r="O203">
        <v>4.9100000000000005E-2</v>
      </c>
      <c r="P203">
        <v>0.25</v>
      </c>
      <c r="Q203">
        <v>0.47899999999999998</v>
      </c>
      <c r="R203">
        <v>6.09</v>
      </c>
      <c r="S203">
        <v>99.34</v>
      </c>
      <c r="T203">
        <v>111.67</v>
      </c>
      <c r="U203">
        <v>5200</v>
      </c>
      <c r="V203">
        <v>473200</v>
      </c>
    </row>
    <row r="204" spans="1:22" x14ac:dyDescent="0.25">
      <c r="A204" t="s">
        <v>87</v>
      </c>
      <c r="B204" t="s">
        <v>88</v>
      </c>
      <c r="C204" t="str">
        <f t="shared" si="6"/>
        <v>2026</v>
      </c>
      <c r="D204" t="str">
        <f t="shared" si="7"/>
        <v>01</v>
      </c>
      <c r="E204" t="s">
        <v>89</v>
      </c>
      <c r="F204" t="s">
        <v>98</v>
      </c>
      <c r="G204" t="s">
        <v>99</v>
      </c>
      <c r="H204" t="s">
        <v>25</v>
      </c>
      <c r="I204" t="s">
        <v>26</v>
      </c>
      <c r="J204">
        <v>28</v>
      </c>
      <c r="K204">
        <v>88.74</v>
      </c>
      <c r="L204">
        <v>69.47</v>
      </c>
      <c r="M204">
        <v>0.78280000000000005</v>
      </c>
      <c r="N204">
        <v>-7.7</v>
      </c>
      <c r="O204">
        <v>-8.6699999999999999E-2</v>
      </c>
      <c r="P204">
        <v>0.13</v>
      </c>
      <c r="Q204">
        <v>0.125</v>
      </c>
      <c r="R204">
        <v>5.48</v>
      </c>
      <c r="S204">
        <v>130.88</v>
      </c>
      <c r="T204">
        <v>146.80000000000001</v>
      </c>
      <c r="U204">
        <v>5200</v>
      </c>
      <c r="V204">
        <v>473200</v>
      </c>
    </row>
    <row r="205" spans="1:22" x14ac:dyDescent="0.25">
      <c r="A205" t="s">
        <v>20</v>
      </c>
      <c r="B205" t="s">
        <v>21</v>
      </c>
      <c r="C205" t="str">
        <f t="shared" si="6"/>
        <v>2019</v>
      </c>
      <c r="D205" t="str">
        <f t="shared" si="7"/>
        <v>01</v>
      </c>
      <c r="E205" t="s">
        <v>22</v>
      </c>
      <c r="F205" t="s">
        <v>100</v>
      </c>
      <c r="G205" t="s">
        <v>101</v>
      </c>
      <c r="H205" t="s">
        <v>25</v>
      </c>
      <c r="I205" t="s">
        <v>26</v>
      </c>
      <c r="J205">
        <v>35</v>
      </c>
      <c r="K205">
        <v>200.6</v>
      </c>
      <c r="L205">
        <v>40.72</v>
      </c>
      <c r="M205">
        <v>0.20300000000000001</v>
      </c>
      <c r="N205">
        <v>22.13</v>
      </c>
      <c r="O205">
        <v>0.1103</v>
      </c>
      <c r="P205">
        <v>0.33</v>
      </c>
      <c r="Q205">
        <v>0.113</v>
      </c>
      <c r="R205">
        <v>0</v>
      </c>
      <c r="S205">
        <v>63</v>
      </c>
      <c r="T205">
        <v>74.58</v>
      </c>
      <c r="U205">
        <v>6000</v>
      </c>
      <c r="V205">
        <v>546000</v>
      </c>
    </row>
    <row r="206" spans="1:22" x14ac:dyDescent="0.25">
      <c r="A206" t="s">
        <v>27</v>
      </c>
      <c r="B206" t="s">
        <v>28</v>
      </c>
      <c r="C206" t="str">
        <f t="shared" si="6"/>
        <v>2019</v>
      </c>
      <c r="D206" t="str">
        <f t="shared" si="7"/>
        <v>04</v>
      </c>
      <c r="E206" t="s">
        <v>22</v>
      </c>
      <c r="F206" t="s">
        <v>100</v>
      </c>
      <c r="G206" t="s">
        <v>101</v>
      </c>
      <c r="H206" t="s">
        <v>25</v>
      </c>
      <c r="I206" t="s">
        <v>26</v>
      </c>
      <c r="J206">
        <v>35</v>
      </c>
      <c r="K206">
        <v>209.18</v>
      </c>
      <c r="L206">
        <v>40.04</v>
      </c>
      <c r="M206">
        <v>0.19140000000000001</v>
      </c>
      <c r="N206">
        <v>26.79</v>
      </c>
      <c r="O206">
        <v>0.12809999999999999</v>
      </c>
      <c r="P206">
        <v>0.36</v>
      </c>
      <c r="Q206">
        <v>0.34100000000000003</v>
      </c>
      <c r="R206">
        <v>0</v>
      </c>
      <c r="S206">
        <v>64.790000000000006</v>
      </c>
      <c r="T206">
        <v>73.34</v>
      </c>
      <c r="U206">
        <v>6000</v>
      </c>
      <c r="V206">
        <v>546000</v>
      </c>
    </row>
    <row r="207" spans="1:22" x14ac:dyDescent="0.25">
      <c r="A207" t="s">
        <v>29</v>
      </c>
      <c r="B207" t="s">
        <v>30</v>
      </c>
      <c r="C207" t="str">
        <f t="shared" si="6"/>
        <v>2019</v>
      </c>
      <c r="D207" t="str">
        <f t="shared" si="7"/>
        <v>07</v>
      </c>
      <c r="E207" t="s">
        <v>22</v>
      </c>
      <c r="F207" t="s">
        <v>100</v>
      </c>
      <c r="G207" t="s">
        <v>101</v>
      </c>
      <c r="H207" t="s">
        <v>25</v>
      </c>
      <c r="I207" t="s">
        <v>26</v>
      </c>
      <c r="J207">
        <v>35</v>
      </c>
      <c r="K207">
        <v>209.63</v>
      </c>
      <c r="L207">
        <v>38.83</v>
      </c>
      <c r="M207">
        <v>0.1852</v>
      </c>
      <c r="N207">
        <v>23.74</v>
      </c>
      <c r="O207">
        <v>0.1133</v>
      </c>
      <c r="P207">
        <v>0.32</v>
      </c>
      <c r="Q207">
        <v>0.183</v>
      </c>
      <c r="R207">
        <v>0</v>
      </c>
      <c r="S207">
        <v>60.46</v>
      </c>
      <c r="T207">
        <v>71.11</v>
      </c>
      <c r="U207">
        <v>6000</v>
      </c>
      <c r="V207">
        <v>546000</v>
      </c>
    </row>
    <row r="208" spans="1:22" x14ac:dyDescent="0.25">
      <c r="A208" t="s">
        <v>31</v>
      </c>
      <c r="B208" t="s">
        <v>32</v>
      </c>
      <c r="C208" t="str">
        <f t="shared" si="6"/>
        <v>2019</v>
      </c>
      <c r="D208" t="str">
        <f t="shared" si="7"/>
        <v>10</v>
      </c>
      <c r="E208" t="s">
        <v>22</v>
      </c>
      <c r="F208" t="s">
        <v>100</v>
      </c>
      <c r="G208" t="s">
        <v>101</v>
      </c>
      <c r="H208" t="s">
        <v>25</v>
      </c>
      <c r="I208" t="s">
        <v>26</v>
      </c>
      <c r="J208">
        <v>35</v>
      </c>
      <c r="K208">
        <v>214.23</v>
      </c>
      <c r="L208">
        <v>42.03</v>
      </c>
      <c r="M208">
        <v>0.19620000000000001</v>
      </c>
      <c r="N208">
        <v>29.14</v>
      </c>
      <c r="O208">
        <v>0.13600000000000001</v>
      </c>
      <c r="P208">
        <v>0.36</v>
      </c>
      <c r="Q208">
        <v>0.36399999999999999</v>
      </c>
      <c r="R208">
        <v>0</v>
      </c>
      <c r="S208">
        <v>65.66</v>
      </c>
      <c r="T208">
        <v>76.97</v>
      </c>
      <c r="U208">
        <v>6000</v>
      </c>
      <c r="V208">
        <v>546000</v>
      </c>
    </row>
    <row r="209" spans="1:22" x14ac:dyDescent="0.25">
      <c r="A209" t="s">
        <v>33</v>
      </c>
      <c r="B209" t="s">
        <v>34</v>
      </c>
      <c r="C209" t="str">
        <f t="shared" si="6"/>
        <v>2020</v>
      </c>
      <c r="D209" t="str">
        <f t="shared" si="7"/>
        <v>01</v>
      </c>
      <c r="E209" t="s">
        <v>22</v>
      </c>
      <c r="F209" t="s">
        <v>100</v>
      </c>
      <c r="G209" t="s">
        <v>101</v>
      </c>
      <c r="H209" t="s">
        <v>25</v>
      </c>
      <c r="I209" t="s">
        <v>26</v>
      </c>
      <c r="J209">
        <v>35</v>
      </c>
      <c r="K209">
        <v>190.02</v>
      </c>
      <c r="L209">
        <v>41.16</v>
      </c>
      <c r="M209">
        <v>0.21660000000000001</v>
      </c>
      <c r="N209">
        <v>20.38</v>
      </c>
      <c r="O209">
        <v>0.1072</v>
      </c>
      <c r="P209">
        <v>0.3</v>
      </c>
      <c r="Q209">
        <v>8.3000000000000004E-2</v>
      </c>
      <c r="R209">
        <v>0</v>
      </c>
      <c r="S209">
        <v>66.66</v>
      </c>
      <c r="T209">
        <v>75.38</v>
      </c>
      <c r="U209">
        <v>6000</v>
      </c>
      <c r="V209">
        <v>546000</v>
      </c>
    </row>
    <row r="210" spans="1:22" x14ac:dyDescent="0.25">
      <c r="A210" t="s">
        <v>35</v>
      </c>
      <c r="B210" t="s">
        <v>36</v>
      </c>
      <c r="C210" t="str">
        <f t="shared" si="6"/>
        <v>2020</v>
      </c>
      <c r="D210" t="str">
        <f t="shared" si="7"/>
        <v>04</v>
      </c>
      <c r="E210" t="s">
        <v>37</v>
      </c>
      <c r="F210" t="s">
        <v>100</v>
      </c>
      <c r="G210" t="s">
        <v>101</v>
      </c>
      <c r="H210" t="s">
        <v>25</v>
      </c>
      <c r="I210" t="s">
        <v>26</v>
      </c>
      <c r="J210">
        <v>35</v>
      </c>
      <c r="K210">
        <v>42.19</v>
      </c>
      <c r="L210">
        <v>12.93</v>
      </c>
      <c r="M210">
        <v>0.30659999999999998</v>
      </c>
      <c r="N210">
        <v>-11.97</v>
      </c>
      <c r="O210">
        <v>-0.2838</v>
      </c>
      <c r="P210">
        <v>7.0000000000000007E-2</v>
      </c>
      <c r="Q210">
        <v>0.22699999999999998</v>
      </c>
      <c r="R210">
        <v>0</v>
      </c>
      <c r="S210">
        <v>20.57</v>
      </c>
      <c r="T210">
        <v>23.69</v>
      </c>
      <c r="U210">
        <v>6000</v>
      </c>
      <c r="V210">
        <v>546000</v>
      </c>
    </row>
    <row r="211" spans="1:22" x14ac:dyDescent="0.25">
      <c r="A211" t="s">
        <v>38</v>
      </c>
      <c r="B211" t="s">
        <v>39</v>
      </c>
      <c r="C211" t="str">
        <f t="shared" si="6"/>
        <v>2020</v>
      </c>
      <c r="D211" t="str">
        <f t="shared" si="7"/>
        <v>07</v>
      </c>
      <c r="E211" t="s">
        <v>37</v>
      </c>
      <c r="F211" t="s">
        <v>100</v>
      </c>
      <c r="G211" t="s">
        <v>101</v>
      </c>
      <c r="H211" t="s">
        <v>25</v>
      </c>
      <c r="I211" t="s">
        <v>26</v>
      </c>
      <c r="J211">
        <v>35</v>
      </c>
      <c r="K211">
        <v>59.07</v>
      </c>
      <c r="L211">
        <v>27.53</v>
      </c>
      <c r="M211">
        <v>0.46610000000000001</v>
      </c>
      <c r="N211">
        <v>-14.57</v>
      </c>
      <c r="O211">
        <v>-0.24660000000000001</v>
      </c>
      <c r="P211">
        <v>0.11</v>
      </c>
      <c r="Q211">
        <v>0.28899999999999998</v>
      </c>
      <c r="R211">
        <v>0</v>
      </c>
      <c r="S211">
        <v>44.05</v>
      </c>
      <c r="T211">
        <v>50.43</v>
      </c>
      <c r="U211">
        <v>6000</v>
      </c>
      <c r="V211">
        <v>546000</v>
      </c>
    </row>
    <row r="212" spans="1:22" x14ac:dyDescent="0.25">
      <c r="A212" t="s">
        <v>40</v>
      </c>
      <c r="B212" t="s">
        <v>41</v>
      </c>
      <c r="C212" t="str">
        <f t="shared" si="6"/>
        <v>2020</v>
      </c>
      <c r="D212" t="str">
        <f t="shared" si="7"/>
        <v>10</v>
      </c>
      <c r="E212" t="s">
        <v>37</v>
      </c>
      <c r="F212" t="s">
        <v>100</v>
      </c>
      <c r="G212" t="s">
        <v>101</v>
      </c>
      <c r="H212" t="s">
        <v>25</v>
      </c>
      <c r="I212" t="s">
        <v>26</v>
      </c>
      <c r="J212">
        <v>35</v>
      </c>
      <c r="K212">
        <v>58.71</v>
      </c>
      <c r="L212">
        <v>24.93</v>
      </c>
      <c r="M212">
        <v>0.42460000000000003</v>
      </c>
      <c r="N212">
        <v>-13.43</v>
      </c>
      <c r="O212">
        <v>-0.22870000000000001</v>
      </c>
      <c r="P212">
        <v>0.11</v>
      </c>
      <c r="Q212">
        <v>0.32</v>
      </c>
      <c r="R212">
        <v>0</v>
      </c>
      <c r="S212">
        <v>39.950000000000003</v>
      </c>
      <c r="T212">
        <v>45.66</v>
      </c>
      <c r="U212">
        <v>6000</v>
      </c>
      <c r="V212">
        <v>546000</v>
      </c>
    </row>
    <row r="213" spans="1:22" x14ac:dyDescent="0.25">
      <c r="A213" t="s">
        <v>42</v>
      </c>
      <c r="B213" t="s">
        <v>43</v>
      </c>
      <c r="C213" t="str">
        <f t="shared" si="6"/>
        <v>2021</v>
      </c>
      <c r="D213" t="str">
        <f t="shared" si="7"/>
        <v>01</v>
      </c>
      <c r="E213" t="s">
        <v>37</v>
      </c>
      <c r="F213" t="s">
        <v>100</v>
      </c>
      <c r="G213" t="s">
        <v>101</v>
      </c>
      <c r="H213" t="s">
        <v>25</v>
      </c>
      <c r="I213" t="s">
        <v>26</v>
      </c>
      <c r="J213">
        <v>35</v>
      </c>
      <c r="K213">
        <v>44.21</v>
      </c>
      <c r="L213">
        <v>46.83</v>
      </c>
      <c r="M213">
        <v>1.0591999999999999</v>
      </c>
      <c r="N213">
        <v>-9.9499999999999993</v>
      </c>
      <c r="O213">
        <v>-0.22500000000000001</v>
      </c>
      <c r="P213">
        <v>7.0000000000000007E-2</v>
      </c>
      <c r="Q213">
        <v>0.51800000000000002</v>
      </c>
      <c r="R213">
        <v>0</v>
      </c>
      <c r="S213">
        <v>75.489999999999995</v>
      </c>
      <c r="T213">
        <v>85.77</v>
      </c>
      <c r="U213">
        <v>6000</v>
      </c>
      <c r="V213">
        <v>546000</v>
      </c>
    </row>
    <row r="214" spans="1:22" x14ac:dyDescent="0.25">
      <c r="A214" t="s">
        <v>44</v>
      </c>
      <c r="B214" t="s">
        <v>45</v>
      </c>
      <c r="C214" t="str">
        <f t="shared" si="6"/>
        <v>2021</v>
      </c>
      <c r="D214" t="str">
        <f t="shared" si="7"/>
        <v>04</v>
      </c>
      <c r="E214" t="s">
        <v>37</v>
      </c>
      <c r="F214" t="s">
        <v>100</v>
      </c>
      <c r="G214" t="s">
        <v>101</v>
      </c>
      <c r="H214" t="s">
        <v>25</v>
      </c>
      <c r="I214" t="s">
        <v>26</v>
      </c>
      <c r="J214">
        <v>35</v>
      </c>
      <c r="K214">
        <v>66.349999999999994</v>
      </c>
      <c r="L214">
        <v>49.64</v>
      </c>
      <c r="M214">
        <v>0.74819999999999998</v>
      </c>
      <c r="N214">
        <v>-17.59</v>
      </c>
      <c r="O214">
        <v>-0.2651</v>
      </c>
      <c r="P214">
        <v>0.12</v>
      </c>
      <c r="Q214">
        <v>3.3000000000000002E-2</v>
      </c>
      <c r="R214">
        <v>0.02</v>
      </c>
      <c r="S214">
        <v>76.83</v>
      </c>
      <c r="T214">
        <v>90.92</v>
      </c>
      <c r="U214">
        <v>6000</v>
      </c>
      <c r="V214">
        <v>546000</v>
      </c>
    </row>
    <row r="215" spans="1:22" x14ac:dyDescent="0.25">
      <c r="A215" t="s">
        <v>46</v>
      </c>
      <c r="B215" t="s">
        <v>47</v>
      </c>
      <c r="C215" t="str">
        <f t="shared" si="6"/>
        <v>2021</v>
      </c>
      <c r="D215" t="str">
        <f t="shared" si="7"/>
        <v>07</v>
      </c>
      <c r="E215" t="s">
        <v>48</v>
      </c>
      <c r="F215" t="s">
        <v>100</v>
      </c>
      <c r="G215" t="s">
        <v>101</v>
      </c>
      <c r="H215" t="s">
        <v>25</v>
      </c>
      <c r="I215" t="s">
        <v>26</v>
      </c>
      <c r="J215">
        <v>35</v>
      </c>
      <c r="K215">
        <v>138.13999999999999</v>
      </c>
      <c r="L215">
        <v>49.1</v>
      </c>
      <c r="M215">
        <v>0.35539999999999999</v>
      </c>
      <c r="N215">
        <v>5.0599999999999996</v>
      </c>
      <c r="O215">
        <v>3.6699999999999997E-2</v>
      </c>
      <c r="P215">
        <v>0.25</v>
      </c>
      <c r="Q215">
        <v>4.0999999999999995E-2</v>
      </c>
      <c r="R215">
        <v>0</v>
      </c>
      <c r="S215">
        <v>78.97</v>
      </c>
      <c r="T215">
        <v>89.92</v>
      </c>
      <c r="U215">
        <v>6000</v>
      </c>
      <c r="V215">
        <v>546000</v>
      </c>
    </row>
    <row r="216" spans="1:22" x14ac:dyDescent="0.25">
      <c r="A216" t="s">
        <v>49</v>
      </c>
      <c r="B216" t="s">
        <v>50</v>
      </c>
      <c r="C216" t="str">
        <f t="shared" si="6"/>
        <v>2021</v>
      </c>
      <c r="D216" t="str">
        <f t="shared" si="7"/>
        <v>10</v>
      </c>
      <c r="E216" t="s">
        <v>48</v>
      </c>
      <c r="F216" t="s">
        <v>100</v>
      </c>
      <c r="G216" t="s">
        <v>101</v>
      </c>
      <c r="H216" t="s">
        <v>25</v>
      </c>
      <c r="I216" t="s">
        <v>26</v>
      </c>
      <c r="J216">
        <v>35</v>
      </c>
      <c r="K216">
        <v>130.76</v>
      </c>
      <c r="L216">
        <v>56.92</v>
      </c>
      <c r="M216">
        <v>0.43530000000000002</v>
      </c>
      <c r="N216">
        <v>-1.24</v>
      </c>
      <c r="O216">
        <v>-9.4999999999999998E-3</v>
      </c>
      <c r="P216">
        <v>0.23</v>
      </c>
      <c r="Q216">
        <v>0.33299999999999996</v>
      </c>
      <c r="R216">
        <v>3</v>
      </c>
      <c r="S216">
        <v>86.82</v>
      </c>
      <c r="T216">
        <v>104.25</v>
      </c>
      <c r="U216">
        <v>6000</v>
      </c>
      <c r="V216">
        <v>546000</v>
      </c>
    </row>
    <row r="217" spans="1:22" x14ac:dyDescent="0.25">
      <c r="A217" t="s">
        <v>51</v>
      </c>
      <c r="B217" t="s">
        <v>52</v>
      </c>
      <c r="C217" t="str">
        <f t="shared" si="6"/>
        <v>2022</v>
      </c>
      <c r="D217" t="str">
        <f t="shared" si="7"/>
        <v>01</v>
      </c>
      <c r="E217" t="s">
        <v>48</v>
      </c>
      <c r="F217" t="s">
        <v>100</v>
      </c>
      <c r="G217" t="s">
        <v>101</v>
      </c>
      <c r="H217" t="s">
        <v>25</v>
      </c>
      <c r="I217" t="s">
        <v>26</v>
      </c>
      <c r="J217">
        <v>35</v>
      </c>
      <c r="K217">
        <v>130.33000000000001</v>
      </c>
      <c r="L217">
        <v>44.47</v>
      </c>
      <c r="M217">
        <v>0.34119999999999995</v>
      </c>
      <c r="N217">
        <v>-3.95</v>
      </c>
      <c r="O217">
        <v>-3.0299999999999997E-2</v>
      </c>
      <c r="P217">
        <v>0.23</v>
      </c>
      <c r="Q217">
        <v>0.193</v>
      </c>
      <c r="R217">
        <v>0</v>
      </c>
      <c r="S217">
        <v>72.010000000000005</v>
      </c>
      <c r="T217">
        <v>81.44</v>
      </c>
      <c r="U217">
        <v>6000</v>
      </c>
      <c r="V217">
        <v>546000</v>
      </c>
    </row>
    <row r="218" spans="1:22" x14ac:dyDescent="0.25">
      <c r="A218" t="s">
        <v>53</v>
      </c>
      <c r="B218" t="s">
        <v>54</v>
      </c>
      <c r="C218" t="str">
        <f t="shared" si="6"/>
        <v>2022</v>
      </c>
      <c r="D218" t="str">
        <f t="shared" si="7"/>
        <v>04</v>
      </c>
      <c r="E218" t="s">
        <v>55</v>
      </c>
      <c r="F218" t="s">
        <v>100</v>
      </c>
      <c r="G218" t="s">
        <v>101</v>
      </c>
      <c r="H218" t="s">
        <v>25</v>
      </c>
      <c r="I218" t="s">
        <v>26</v>
      </c>
      <c r="J218">
        <v>35</v>
      </c>
      <c r="K218">
        <v>184.69</v>
      </c>
      <c r="L218">
        <v>71.87</v>
      </c>
      <c r="M218">
        <v>0.38909999999999995</v>
      </c>
      <c r="N218">
        <v>4.45</v>
      </c>
      <c r="O218">
        <v>2.41E-2</v>
      </c>
      <c r="P218">
        <v>0.34</v>
      </c>
      <c r="Q218">
        <v>0.307</v>
      </c>
      <c r="R218">
        <v>10.210000000000001</v>
      </c>
      <c r="S218">
        <v>109.53</v>
      </c>
      <c r="T218">
        <v>131.63</v>
      </c>
      <c r="U218">
        <v>6000</v>
      </c>
      <c r="V218">
        <v>546000</v>
      </c>
    </row>
    <row r="219" spans="1:22" x14ac:dyDescent="0.25">
      <c r="A219" t="s">
        <v>56</v>
      </c>
      <c r="B219" t="s">
        <v>57</v>
      </c>
      <c r="C219" t="str">
        <f t="shared" si="6"/>
        <v>2022</v>
      </c>
      <c r="D219" t="str">
        <f t="shared" si="7"/>
        <v>07</v>
      </c>
      <c r="E219" t="s">
        <v>55</v>
      </c>
      <c r="F219" t="s">
        <v>100</v>
      </c>
      <c r="G219" t="s">
        <v>101</v>
      </c>
      <c r="H219" t="s">
        <v>25</v>
      </c>
      <c r="I219" t="s">
        <v>26</v>
      </c>
      <c r="J219">
        <v>35</v>
      </c>
      <c r="K219">
        <v>200.15</v>
      </c>
      <c r="L219">
        <v>51.59</v>
      </c>
      <c r="M219">
        <v>0.25780000000000003</v>
      </c>
      <c r="N219">
        <v>4.99</v>
      </c>
      <c r="O219">
        <v>2.4900000000000002E-2</v>
      </c>
      <c r="P219">
        <v>0.34</v>
      </c>
      <c r="Q219">
        <v>0.42</v>
      </c>
      <c r="R219">
        <v>1.08</v>
      </c>
      <c r="S219">
        <v>80.69</v>
      </c>
      <c r="T219">
        <v>94.49</v>
      </c>
      <c r="U219">
        <v>6000</v>
      </c>
      <c r="V219">
        <v>546000</v>
      </c>
    </row>
    <row r="220" spans="1:22" x14ac:dyDescent="0.25">
      <c r="A220" t="s">
        <v>58</v>
      </c>
      <c r="B220" t="s">
        <v>59</v>
      </c>
      <c r="C220" t="str">
        <f t="shared" si="6"/>
        <v>2022</v>
      </c>
      <c r="D220" t="str">
        <f t="shared" si="7"/>
        <v>10</v>
      </c>
      <c r="E220" t="s">
        <v>55</v>
      </c>
      <c r="F220" t="s">
        <v>100</v>
      </c>
      <c r="G220" t="s">
        <v>101</v>
      </c>
      <c r="H220" t="s">
        <v>25</v>
      </c>
      <c r="I220" t="s">
        <v>26</v>
      </c>
      <c r="J220">
        <v>35</v>
      </c>
      <c r="K220">
        <v>184.91</v>
      </c>
      <c r="L220">
        <v>57.64</v>
      </c>
      <c r="M220">
        <v>0.31170000000000003</v>
      </c>
      <c r="N220">
        <v>17.05</v>
      </c>
      <c r="O220">
        <v>9.2200000000000004E-2</v>
      </c>
      <c r="P220">
        <v>0.33</v>
      </c>
      <c r="Q220">
        <v>0.52100000000000002</v>
      </c>
      <c r="R220">
        <v>5.19</v>
      </c>
      <c r="S220">
        <v>93.25</v>
      </c>
      <c r="T220">
        <v>105.56</v>
      </c>
      <c r="U220">
        <v>6000</v>
      </c>
      <c r="V220">
        <v>546000</v>
      </c>
    </row>
    <row r="221" spans="1:22" x14ac:dyDescent="0.25">
      <c r="A221" t="s">
        <v>60</v>
      </c>
      <c r="B221" t="s">
        <v>61</v>
      </c>
      <c r="C221" t="str">
        <f t="shared" si="6"/>
        <v>2023</v>
      </c>
      <c r="D221" t="str">
        <f t="shared" si="7"/>
        <v>01</v>
      </c>
      <c r="E221" t="s">
        <v>62</v>
      </c>
      <c r="F221" t="s">
        <v>100</v>
      </c>
      <c r="G221" t="s">
        <v>101</v>
      </c>
      <c r="H221" t="s">
        <v>25</v>
      </c>
      <c r="I221" t="s">
        <v>26</v>
      </c>
      <c r="J221">
        <v>35</v>
      </c>
      <c r="K221">
        <v>203.95</v>
      </c>
      <c r="L221">
        <v>53.03</v>
      </c>
      <c r="M221">
        <v>0.26</v>
      </c>
      <c r="N221">
        <v>14.97</v>
      </c>
      <c r="O221">
        <v>7.3399999999999993E-2</v>
      </c>
      <c r="P221">
        <v>0.36</v>
      </c>
      <c r="Q221">
        <v>0.14599999999999999</v>
      </c>
      <c r="R221">
        <v>0.61</v>
      </c>
      <c r="S221">
        <v>84.29</v>
      </c>
      <c r="T221">
        <v>97.13</v>
      </c>
      <c r="U221">
        <v>6000</v>
      </c>
      <c r="V221">
        <v>546000</v>
      </c>
    </row>
    <row r="222" spans="1:22" x14ac:dyDescent="0.25">
      <c r="A222" t="s">
        <v>63</v>
      </c>
      <c r="B222" t="s">
        <v>64</v>
      </c>
      <c r="C222" t="str">
        <f t="shared" si="6"/>
        <v>2023</v>
      </c>
      <c r="D222" t="str">
        <f t="shared" si="7"/>
        <v>04</v>
      </c>
      <c r="E222" t="s">
        <v>62</v>
      </c>
      <c r="F222" t="s">
        <v>100</v>
      </c>
      <c r="G222" t="s">
        <v>101</v>
      </c>
      <c r="H222" t="s">
        <v>25</v>
      </c>
      <c r="I222" t="s">
        <v>26</v>
      </c>
      <c r="J222">
        <v>35</v>
      </c>
      <c r="K222">
        <v>193.56</v>
      </c>
      <c r="L222">
        <v>55.68</v>
      </c>
      <c r="M222">
        <v>0.28760000000000002</v>
      </c>
      <c r="N222">
        <v>18.16</v>
      </c>
      <c r="O222">
        <v>9.3800000000000008E-2</v>
      </c>
      <c r="P222">
        <v>0.33</v>
      </c>
      <c r="Q222">
        <v>9.8000000000000004E-2</v>
      </c>
      <c r="R222">
        <v>0.73</v>
      </c>
      <c r="S222">
        <v>88.18</v>
      </c>
      <c r="T222">
        <v>101.97</v>
      </c>
      <c r="U222">
        <v>6000</v>
      </c>
      <c r="V222">
        <v>546000</v>
      </c>
    </row>
    <row r="223" spans="1:22" x14ac:dyDescent="0.25">
      <c r="A223" t="s">
        <v>65</v>
      </c>
      <c r="B223" t="s">
        <v>66</v>
      </c>
      <c r="C223" t="str">
        <f t="shared" si="6"/>
        <v>2023</v>
      </c>
      <c r="D223" t="str">
        <f t="shared" si="7"/>
        <v>07</v>
      </c>
      <c r="E223" t="s">
        <v>62</v>
      </c>
      <c r="F223" t="s">
        <v>100</v>
      </c>
      <c r="G223" t="s">
        <v>101</v>
      </c>
      <c r="H223" t="s">
        <v>25</v>
      </c>
      <c r="I223" t="s">
        <v>26</v>
      </c>
      <c r="J223">
        <v>35</v>
      </c>
      <c r="K223">
        <v>203.79</v>
      </c>
      <c r="L223">
        <v>53.25</v>
      </c>
      <c r="M223">
        <v>0.26129999999999998</v>
      </c>
      <c r="N223">
        <v>19.29</v>
      </c>
      <c r="O223">
        <v>9.4600000000000004E-2</v>
      </c>
      <c r="P223">
        <v>0.37</v>
      </c>
      <c r="Q223">
        <v>0.49299999999999999</v>
      </c>
      <c r="R223">
        <v>2.19</v>
      </c>
      <c r="S223">
        <v>85.16</v>
      </c>
      <c r="T223">
        <v>97.52</v>
      </c>
      <c r="U223">
        <v>6000</v>
      </c>
      <c r="V223">
        <v>546000</v>
      </c>
    </row>
    <row r="224" spans="1:22" x14ac:dyDescent="0.25">
      <c r="A224" t="s">
        <v>67</v>
      </c>
      <c r="B224" t="s">
        <v>68</v>
      </c>
      <c r="C224" t="str">
        <f t="shared" si="6"/>
        <v>2023</v>
      </c>
      <c r="D224" t="str">
        <f t="shared" si="7"/>
        <v>10</v>
      </c>
      <c r="E224" t="s">
        <v>69</v>
      </c>
      <c r="F224" t="s">
        <v>100</v>
      </c>
      <c r="G224" t="s">
        <v>101</v>
      </c>
      <c r="H224" t="s">
        <v>25</v>
      </c>
      <c r="I224" t="s">
        <v>26</v>
      </c>
      <c r="J224">
        <v>35</v>
      </c>
      <c r="K224">
        <v>195.66</v>
      </c>
      <c r="L224">
        <v>49.12</v>
      </c>
      <c r="M224">
        <v>0.251</v>
      </c>
      <c r="N224">
        <v>23.83</v>
      </c>
      <c r="O224">
        <v>0.12179999999999999</v>
      </c>
      <c r="P224">
        <v>0.36</v>
      </c>
      <c r="Q224">
        <v>0.46600000000000003</v>
      </c>
      <c r="R224">
        <v>0</v>
      </c>
      <c r="S224">
        <v>78.33</v>
      </c>
      <c r="T224">
        <v>89.96</v>
      </c>
      <c r="U224">
        <v>6000</v>
      </c>
      <c r="V224">
        <v>546000</v>
      </c>
    </row>
    <row r="225" spans="1:22" x14ac:dyDescent="0.25">
      <c r="A225" t="s">
        <v>70</v>
      </c>
      <c r="B225" t="s">
        <v>71</v>
      </c>
      <c r="C225" t="str">
        <f t="shared" si="6"/>
        <v>2024</v>
      </c>
      <c r="D225" t="str">
        <f t="shared" si="7"/>
        <v>01</v>
      </c>
      <c r="E225" t="s">
        <v>69</v>
      </c>
      <c r="F225" t="s">
        <v>100</v>
      </c>
      <c r="G225" t="s">
        <v>101</v>
      </c>
      <c r="H225" t="s">
        <v>25</v>
      </c>
      <c r="I225" t="s">
        <v>26</v>
      </c>
      <c r="J225">
        <v>35</v>
      </c>
      <c r="K225">
        <v>210.46</v>
      </c>
      <c r="L225">
        <v>54.06</v>
      </c>
      <c r="M225">
        <v>0.25690000000000002</v>
      </c>
      <c r="N225">
        <v>14.03</v>
      </c>
      <c r="O225">
        <v>6.6600000000000006E-2</v>
      </c>
      <c r="P225">
        <v>0.39</v>
      </c>
      <c r="Q225">
        <v>0.115</v>
      </c>
      <c r="R225">
        <v>0.62</v>
      </c>
      <c r="S225">
        <v>84.61</v>
      </c>
      <c r="T225">
        <v>99.02</v>
      </c>
      <c r="U225">
        <v>6000</v>
      </c>
      <c r="V225">
        <v>546000</v>
      </c>
    </row>
    <row r="226" spans="1:22" x14ac:dyDescent="0.25">
      <c r="A226" t="s">
        <v>72</v>
      </c>
      <c r="B226" t="s">
        <v>73</v>
      </c>
      <c r="C226" t="str">
        <f t="shared" si="6"/>
        <v>2024</v>
      </c>
      <c r="D226" t="str">
        <f t="shared" si="7"/>
        <v>04</v>
      </c>
      <c r="E226" t="s">
        <v>69</v>
      </c>
      <c r="F226" t="s">
        <v>100</v>
      </c>
      <c r="G226" t="s">
        <v>101</v>
      </c>
      <c r="H226" t="s">
        <v>25</v>
      </c>
      <c r="I226" t="s">
        <v>26</v>
      </c>
      <c r="J226">
        <v>35</v>
      </c>
      <c r="K226">
        <v>209.52</v>
      </c>
      <c r="L226">
        <v>55.57</v>
      </c>
      <c r="M226">
        <v>0.26519999999999999</v>
      </c>
      <c r="N226">
        <v>16.66</v>
      </c>
      <c r="O226">
        <v>7.9500000000000001E-2</v>
      </c>
      <c r="P226">
        <v>0.35</v>
      </c>
      <c r="Q226">
        <v>0.185</v>
      </c>
      <c r="R226">
        <v>1.35</v>
      </c>
      <c r="S226">
        <v>84.06</v>
      </c>
      <c r="T226">
        <v>101.78</v>
      </c>
      <c r="U226">
        <v>6000</v>
      </c>
      <c r="V226">
        <v>546000</v>
      </c>
    </row>
    <row r="227" spans="1:22" x14ac:dyDescent="0.25">
      <c r="A227" t="s">
        <v>74</v>
      </c>
      <c r="B227" t="s">
        <v>75</v>
      </c>
      <c r="C227" t="str">
        <f t="shared" si="6"/>
        <v>2024</v>
      </c>
      <c r="D227" t="str">
        <f t="shared" si="7"/>
        <v>07</v>
      </c>
      <c r="E227" t="s">
        <v>69</v>
      </c>
      <c r="F227" t="s">
        <v>100</v>
      </c>
      <c r="G227" t="s">
        <v>101</v>
      </c>
      <c r="H227" t="s">
        <v>25</v>
      </c>
      <c r="I227" t="s">
        <v>26</v>
      </c>
      <c r="J227">
        <v>35</v>
      </c>
      <c r="K227">
        <v>201.47</v>
      </c>
      <c r="L227">
        <v>51.31</v>
      </c>
      <c r="M227">
        <v>0.25469999999999998</v>
      </c>
      <c r="N227">
        <v>23.99</v>
      </c>
      <c r="O227">
        <v>0.1191</v>
      </c>
      <c r="P227">
        <v>0.37</v>
      </c>
      <c r="Q227">
        <v>0.27100000000000002</v>
      </c>
      <c r="R227">
        <v>0.61</v>
      </c>
      <c r="S227">
        <v>80.400000000000006</v>
      </c>
      <c r="T227">
        <v>93.98</v>
      </c>
      <c r="U227">
        <v>6000</v>
      </c>
      <c r="V227">
        <v>546000</v>
      </c>
    </row>
    <row r="228" spans="1:22" x14ac:dyDescent="0.25">
      <c r="A228" t="s">
        <v>76</v>
      </c>
      <c r="B228" t="s">
        <v>77</v>
      </c>
      <c r="C228" t="str">
        <f t="shared" si="6"/>
        <v>2024</v>
      </c>
      <c r="D228" t="str">
        <f t="shared" si="7"/>
        <v>10</v>
      </c>
      <c r="E228" t="s">
        <v>69</v>
      </c>
      <c r="F228" t="s">
        <v>100</v>
      </c>
      <c r="G228" t="s">
        <v>101</v>
      </c>
      <c r="H228" t="s">
        <v>25</v>
      </c>
      <c r="I228" t="s">
        <v>26</v>
      </c>
      <c r="J228">
        <v>35</v>
      </c>
      <c r="K228">
        <v>206.94</v>
      </c>
      <c r="L228">
        <v>61.44</v>
      </c>
      <c r="M228">
        <v>0.2969</v>
      </c>
      <c r="N228">
        <v>24.59</v>
      </c>
      <c r="O228">
        <v>0.1188</v>
      </c>
      <c r="P228">
        <v>0.32</v>
      </c>
      <c r="Q228">
        <v>0.624</v>
      </c>
      <c r="R228">
        <v>9.59</v>
      </c>
      <c r="S228">
        <v>94.78</v>
      </c>
      <c r="T228">
        <v>112.52</v>
      </c>
      <c r="U228">
        <v>6000</v>
      </c>
      <c r="V228">
        <v>546000</v>
      </c>
    </row>
    <row r="229" spans="1:22" x14ac:dyDescent="0.25">
      <c r="A229" t="s">
        <v>78</v>
      </c>
      <c r="B229" t="s">
        <v>79</v>
      </c>
      <c r="C229" t="str">
        <f t="shared" si="6"/>
        <v>2025</v>
      </c>
      <c r="D229" t="str">
        <f t="shared" si="7"/>
        <v>01</v>
      </c>
      <c r="E229" t="s">
        <v>80</v>
      </c>
      <c r="F229" t="s">
        <v>100</v>
      </c>
      <c r="G229" t="s">
        <v>101</v>
      </c>
      <c r="H229" t="s">
        <v>25</v>
      </c>
      <c r="I229" t="s">
        <v>26</v>
      </c>
      <c r="J229">
        <v>35</v>
      </c>
      <c r="K229">
        <v>195.5</v>
      </c>
      <c r="L229">
        <v>55.44</v>
      </c>
      <c r="M229">
        <v>0.28360000000000002</v>
      </c>
      <c r="N229">
        <v>25.71</v>
      </c>
      <c r="O229">
        <v>0.13150000000000001</v>
      </c>
      <c r="P229">
        <v>0.36</v>
      </c>
      <c r="Q229">
        <v>6.5000000000000002E-2</v>
      </c>
      <c r="R229">
        <v>0.46</v>
      </c>
      <c r="S229">
        <v>85.13</v>
      </c>
      <c r="T229">
        <v>101.54</v>
      </c>
      <c r="U229">
        <v>6000</v>
      </c>
      <c r="V229">
        <v>546000</v>
      </c>
    </row>
    <row r="230" spans="1:22" x14ac:dyDescent="0.25">
      <c r="A230" t="s">
        <v>81</v>
      </c>
      <c r="B230" t="s">
        <v>82</v>
      </c>
      <c r="C230" t="str">
        <f t="shared" si="6"/>
        <v>2025</v>
      </c>
      <c r="D230" t="str">
        <f t="shared" si="7"/>
        <v>04</v>
      </c>
      <c r="E230" t="s">
        <v>80</v>
      </c>
      <c r="F230" t="s">
        <v>100</v>
      </c>
      <c r="G230" t="s">
        <v>101</v>
      </c>
      <c r="H230" t="s">
        <v>25</v>
      </c>
      <c r="I230" t="s">
        <v>26</v>
      </c>
      <c r="J230">
        <v>35</v>
      </c>
      <c r="K230">
        <v>213.21</v>
      </c>
      <c r="L230">
        <v>65.75</v>
      </c>
      <c r="M230">
        <v>0.30840000000000001</v>
      </c>
      <c r="N230">
        <v>22.19</v>
      </c>
      <c r="O230">
        <v>0.1041</v>
      </c>
      <c r="P230">
        <v>0.38</v>
      </c>
      <c r="Q230">
        <v>7.0999999999999994E-2</v>
      </c>
      <c r="R230">
        <v>1.58</v>
      </c>
      <c r="S230">
        <v>101.77</v>
      </c>
      <c r="T230">
        <v>120.43</v>
      </c>
      <c r="U230">
        <v>6000</v>
      </c>
      <c r="V230">
        <v>546000</v>
      </c>
    </row>
    <row r="231" spans="1:22" x14ac:dyDescent="0.25">
      <c r="A231" t="s">
        <v>83</v>
      </c>
      <c r="B231" t="s">
        <v>84</v>
      </c>
      <c r="C231" t="str">
        <f t="shared" si="6"/>
        <v>2025</v>
      </c>
      <c r="D231" t="str">
        <f t="shared" si="7"/>
        <v>07</v>
      </c>
      <c r="E231" t="s">
        <v>80</v>
      </c>
      <c r="F231" t="s">
        <v>100</v>
      </c>
      <c r="G231" t="s">
        <v>101</v>
      </c>
      <c r="H231" t="s">
        <v>25</v>
      </c>
      <c r="I231" t="s">
        <v>26</v>
      </c>
      <c r="J231">
        <v>35</v>
      </c>
      <c r="K231">
        <v>211.69</v>
      </c>
      <c r="L231">
        <v>61.27</v>
      </c>
      <c r="M231">
        <v>0.28939999999999999</v>
      </c>
      <c r="N231">
        <v>21.72</v>
      </c>
      <c r="O231">
        <v>0.1026</v>
      </c>
      <c r="P231">
        <v>0.36</v>
      </c>
      <c r="Q231">
        <v>0.36399999999999999</v>
      </c>
      <c r="R231">
        <v>5.51</v>
      </c>
      <c r="S231">
        <v>93.24</v>
      </c>
      <c r="T231">
        <v>112.22</v>
      </c>
      <c r="U231">
        <v>6000</v>
      </c>
      <c r="V231">
        <v>546000</v>
      </c>
    </row>
    <row r="232" spans="1:22" x14ac:dyDescent="0.25">
      <c r="A232" t="s">
        <v>85</v>
      </c>
      <c r="B232" t="s">
        <v>86</v>
      </c>
      <c r="C232" t="str">
        <f t="shared" si="6"/>
        <v>2025</v>
      </c>
      <c r="D232" t="str">
        <f t="shared" si="7"/>
        <v>10</v>
      </c>
      <c r="E232" t="s">
        <v>80</v>
      </c>
      <c r="F232" t="s">
        <v>100</v>
      </c>
      <c r="G232" t="s">
        <v>101</v>
      </c>
      <c r="H232" t="s">
        <v>25</v>
      </c>
      <c r="I232" t="s">
        <v>26</v>
      </c>
      <c r="J232">
        <v>35</v>
      </c>
      <c r="K232">
        <v>209.36</v>
      </c>
      <c r="L232">
        <v>60.97</v>
      </c>
      <c r="M232">
        <v>0.29120000000000001</v>
      </c>
      <c r="N232">
        <v>14.61</v>
      </c>
      <c r="O232">
        <v>6.9800000000000001E-2</v>
      </c>
      <c r="P232">
        <v>0.39</v>
      </c>
      <c r="Q232">
        <v>0.2</v>
      </c>
      <c r="R232">
        <v>2.94</v>
      </c>
      <c r="S232">
        <v>99.34</v>
      </c>
      <c r="T232">
        <v>111.67</v>
      </c>
      <c r="U232">
        <v>6000</v>
      </c>
      <c r="V232">
        <v>546000</v>
      </c>
    </row>
    <row r="233" spans="1:22" x14ac:dyDescent="0.25">
      <c r="A233" t="s">
        <v>87</v>
      </c>
      <c r="B233" t="s">
        <v>88</v>
      </c>
      <c r="C233" t="str">
        <f t="shared" si="6"/>
        <v>2026</v>
      </c>
      <c r="D233" t="str">
        <f t="shared" si="7"/>
        <v>01</v>
      </c>
      <c r="E233" t="s">
        <v>89</v>
      </c>
      <c r="F233" t="s">
        <v>100</v>
      </c>
      <c r="G233" t="s">
        <v>101</v>
      </c>
      <c r="H233" t="s">
        <v>25</v>
      </c>
      <c r="I233" t="s">
        <v>26</v>
      </c>
      <c r="J233">
        <v>35</v>
      </c>
      <c r="K233">
        <v>143.85</v>
      </c>
      <c r="L233">
        <v>80.150000000000006</v>
      </c>
      <c r="M233">
        <v>0.55720000000000003</v>
      </c>
      <c r="N233">
        <v>-35.619999999999997</v>
      </c>
      <c r="O233">
        <v>-0.24760000000000001</v>
      </c>
      <c r="P233">
        <v>0.26</v>
      </c>
      <c r="Q233">
        <v>0.55399999999999994</v>
      </c>
      <c r="R233">
        <v>28.02</v>
      </c>
      <c r="S233">
        <v>130.88</v>
      </c>
      <c r="T233">
        <v>146.80000000000001</v>
      </c>
      <c r="U233">
        <v>6000</v>
      </c>
      <c r="V233">
        <v>546000</v>
      </c>
    </row>
    <row r="234" spans="1:22" x14ac:dyDescent="0.25">
      <c r="A234" t="s">
        <v>20</v>
      </c>
      <c r="B234" t="s">
        <v>21</v>
      </c>
      <c r="C234" t="str">
        <f t="shared" si="6"/>
        <v>2019</v>
      </c>
      <c r="D234" t="str">
        <f t="shared" si="7"/>
        <v>01</v>
      </c>
      <c r="E234" t="s">
        <v>22</v>
      </c>
      <c r="F234" t="s">
        <v>102</v>
      </c>
      <c r="G234" t="s">
        <v>103</v>
      </c>
      <c r="H234" t="s">
        <v>25</v>
      </c>
      <c r="I234" t="s">
        <v>26</v>
      </c>
      <c r="J234">
        <v>148</v>
      </c>
      <c r="K234">
        <v>1255.99</v>
      </c>
      <c r="L234">
        <v>203.6</v>
      </c>
      <c r="M234">
        <v>0.16210000000000002</v>
      </c>
      <c r="N234">
        <v>142.80000000000001</v>
      </c>
      <c r="O234">
        <v>0.1137</v>
      </c>
      <c r="P234">
        <v>1.35</v>
      </c>
      <c r="Q234">
        <v>0.312</v>
      </c>
      <c r="R234">
        <v>0</v>
      </c>
      <c r="S234">
        <v>63</v>
      </c>
      <c r="T234">
        <v>74.58</v>
      </c>
      <c r="U234">
        <v>30000</v>
      </c>
      <c r="V234">
        <v>2730000</v>
      </c>
    </row>
    <row r="235" spans="1:22" x14ac:dyDescent="0.25">
      <c r="A235" t="s">
        <v>27</v>
      </c>
      <c r="B235" t="s">
        <v>28</v>
      </c>
      <c r="C235" t="str">
        <f t="shared" si="6"/>
        <v>2019</v>
      </c>
      <c r="D235" t="str">
        <f t="shared" si="7"/>
        <v>04</v>
      </c>
      <c r="E235" t="s">
        <v>22</v>
      </c>
      <c r="F235" t="s">
        <v>102</v>
      </c>
      <c r="G235" t="s">
        <v>103</v>
      </c>
      <c r="H235" t="s">
        <v>25</v>
      </c>
      <c r="I235" t="s">
        <v>26</v>
      </c>
      <c r="J235">
        <v>148</v>
      </c>
      <c r="K235">
        <v>1246.5899999999999</v>
      </c>
      <c r="L235">
        <v>200.22</v>
      </c>
      <c r="M235">
        <v>0.16059999999999999</v>
      </c>
      <c r="N235">
        <v>76.36</v>
      </c>
      <c r="O235">
        <v>6.13E-2</v>
      </c>
      <c r="P235">
        <v>1.5</v>
      </c>
      <c r="Q235">
        <v>0.27200000000000002</v>
      </c>
      <c r="R235">
        <v>0</v>
      </c>
      <c r="S235">
        <v>64.790000000000006</v>
      </c>
      <c r="T235">
        <v>73.34</v>
      </c>
      <c r="U235">
        <v>30000</v>
      </c>
      <c r="V235">
        <v>2730000</v>
      </c>
    </row>
    <row r="236" spans="1:22" x14ac:dyDescent="0.25">
      <c r="A236" t="s">
        <v>29</v>
      </c>
      <c r="B236" t="s">
        <v>30</v>
      </c>
      <c r="C236" t="str">
        <f t="shared" si="6"/>
        <v>2019</v>
      </c>
      <c r="D236" t="str">
        <f t="shared" si="7"/>
        <v>07</v>
      </c>
      <c r="E236" t="s">
        <v>22</v>
      </c>
      <c r="F236" t="s">
        <v>102</v>
      </c>
      <c r="G236" t="s">
        <v>103</v>
      </c>
      <c r="H236" t="s">
        <v>25</v>
      </c>
      <c r="I236" t="s">
        <v>26</v>
      </c>
      <c r="J236">
        <v>148</v>
      </c>
      <c r="K236">
        <v>1239.4000000000001</v>
      </c>
      <c r="L236">
        <v>194.13</v>
      </c>
      <c r="M236">
        <v>0.15659999999999999</v>
      </c>
      <c r="N236">
        <v>113.41</v>
      </c>
      <c r="O236">
        <v>9.1499999999999998E-2</v>
      </c>
      <c r="P236">
        <v>1.5</v>
      </c>
      <c r="Q236">
        <v>0.21600000000000003</v>
      </c>
      <c r="R236">
        <v>0</v>
      </c>
      <c r="S236">
        <v>60.46</v>
      </c>
      <c r="T236">
        <v>71.11</v>
      </c>
      <c r="U236">
        <v>30000</v>
      </c>
      <c r="V236">
        <v>2730000</v>
      </c>
    </row>
    <row r="237" spans="1:22" x14ac:dyDescent="0.25">
      <c r="A237" t="s">
        <v>31</v>
      </c>
      <c r="B237" t="s">
        <v>32</v>
      </c>
      <c r="C237" t="str">
        <f t="shared" si="6"/>
        <v>2019</v>
      </c>
      <c r="D237" t="str">
        <f t="shared" si="7"/>
        <v>10</v>
      </c>
      <c r="E237" t="s">
        <v>22</v>
      </c>
      <c r="F237" t="s">
        <v>102</v>
      </c>
      <c r="G237" t="s">
        <v>103</v>
      </c>
      <c r="H237" t="s">
        <v>25</v>
      </c>
      <c r="I237" t="s">
        <v>26</v>
      </c>
      <c r="J237">
        <v>148</v>
      </c>
      <c r="K237">
        <v>1258.8699999999999</v>
      </c>
      <c r="L237">
        <v>210.13</v>
      </c>
      <c r="M237">
        <v>0.16690000000000002</v>
      </c>
      <c r="N237">
        <v>131.37</v>
      </c>
      <c r="O237">
        <v>0.10439999999999999</v>
      </c>
      <c r="P237">
        <v>1.51</v>
      </c>
      <c r="Q237">
        <v>0.55799999999999994</v>
      </c>
      <c r="R237">
        <v>0</v>
      </c>
      <c r="S237">
        <v>65.66</v>
      </c>
      <c r="T237">
        <v>76.97</v>
      </c>
      <c r="U237">
        <v>30000</v>
      </c>
      <c r="V237">
        <v>2730000</v>
      </c>
    </row>
    <row r="238" spans="1:22" x14ac:dyDescent="0.25">
      <c r="A238" t="s">
        <v>33</v>
      </c>
      <c r="B238" t="s">
        <v>34</v>
      </c>
      <c r="C238" t="str">
        <f t="shared" si="6"/>
        <v>2020</v>
      </c>
      <c r="D238" t="str">
        <f t="shared" si="7"/>
        <v>01</v>
      </c>
      <c r="E238" t="s">
        <v>22</v>
      </c>
      <c r="F238" t="s">
        <v>102</v>
      </c>
      <c r="G238" t="s">
        <v>103</v>
      </c>
      <c r="H238" t="s">
        <v>25</v>
      </c>
      <c r="I238" t="s">
        <v>26</v>
      </c>
      <c r="J238">
        <v>148</v>
      </c>
      <c r="K238">
        <v>1346.03</v>
      </c>
      <c r="L238">
        <v>205.79</v>
      </c>
      <c r="M238">
        <v>0.15289999999999998</v>
      </c>
      <c r="N238">
        <v>78.63</v>
      </c>
      <c r="O238">
        <v>5.8400000000000001E-2</v>
      </c>
      <c r="P238">
        <v>1.57</v>
      </c>
      <c r="Q238">
        <v>0.53500000000000003</v>
      </c>
      <c r="R238">
        <v>0</v>
      </c>
      <c r="S238">
        <v>66.66</v>
      </c>
      <c r="T238">
        <v>75.38</v>
      </c>
      <c r="U238">
        <v>30000</v>
      </c>
      <c r="V238">
        <v>2730000</v>
      </c>
    </row>
    <row r="239" spans="1:22" x14ac:dyDescent="0.25">
      <c r="A239" t="s">
        <v>35</v>
      </c>
      <c r="B239" t="s">
        <v>36</v>
      </c>
      <c r="C239" t="str">
        <f t="shared" si="6"/>
        <v>2020</v>
      </c>
      <c r="D239" t="str">
        <f t="shared" si="7"/>
        <v>04</v>
      </c>
      <c r="E239" t="s">
        <v>37</v>
      </c>
      <c r="F239" t="s">
        <v>102</v>
      </c>
      <c r="G239" t="s">
        <v>103</v>
      </c>
      <c r="H239" t="s">
        <v>25</v>
      </c>
      <c r="I239" t="s">
        <v>26</v>
      </c>
      <c r="J239">
        <v>148</v>
      </c>
      <c r="K239">
        <v>415.88</v>
      </c>
      <c r="L239">
        <v>64.67</v>
      </c>
      <c r="M239">
        <v>0.1555</v>
      </c>
      <c r="N239">
        <v>-145.15</v>
      </c>
      <c r="O239">
        <v>-0.34899999999999998</v>
      </c>
      <c r="P239">
        <v>0.45</v>
      </c>
      <c r="Q239">
        <v>0.10099999999999999</v>
      </c>
      <c r="R239">
        <v>0</v>
      </c>
      <c r="S239">
        <v>20.57</v>
      </c>
      <c r="T239">
        <v>23.69</v>
      </c>
      <c r="U239">
        <v>30000</v>
      </c>
      <c r="V239">
        <v>2730000</v>
      </c>
    </row>
    <row r="240" spans="1:22" x14ac:dyDescent="0.25">
      <c r="A240" t="s">
        <v>38</v>
      </c>
      <c r="B240" t="s">
        <v>39</v>
      </c>
      <c r="C240" t="str">
        <f t="shared" si="6"/>
        <v>2020</v>
      </c>
      <c r="D240" t="str">
        <f t="shared" si="7"/>
        <v>07</v>
      </c>
      <c r="E240" t="s">
        <v>37</v>
      </c>
      <c r="F240" t="s">
        <v>102</v>
      </c>
      <c r="G240" t="s">
        <v>103</v>
      </c>
      <c r="H240" t="s">
        <v>25</v>
      </c>
      <c r="I240" t="s">
        <v>26</v>
      </c>
      <c r="J240">
        <v>148</v>
      </c>
      <c r="K240">
        <v>395.9</v>
      </c>
      <c r="L240">
        <v>137.66999999999999</v>
      </c>
      <c r="M240">
        <v>0.3478</v>
      </c>
      <c r="N240">
        <v>-105.19</v>
      </c>
      <c r="O240">
        <v>-0.26569999999999999</v>
      </c>
      <c r="P240">
        <v>0.4</v>
      </c>
      <c r="Q240">
        <v>1.3000000000000001E-2</v>
      </c>
      <c r="R240">
        <v>0</v>
      </c>
      <c r="S240">
        <v>44.05</v>
      </c>
      <c r="T240">
        <v>50.43</v>
      </c>
      <c r="U240">
        <v>30000</v>
      </c>
      <c r="V240">
        <v>2730000</v>
      </c>
    </row>
    <row r="241" spans="1:22" x14ac:dyDescent="0.25">
      <c r="A241" t="s">
        <v>40</v>
      </c>
      <c r="B241" t="s">
        <v>41</v>
      </c>
      <c r="C241" t="str">
        <f t="shared" si="6"/>
        <v>2020</v>
      </c>
      <c r="D241" t="str">
        <f t="shared" si="7"/>
        <v>10</v>
      </c>
      <c r="E241" t="s">
        <v>37</v>
      </c>
      <c r="F241" t="s">
        <v>102</v>
      </c>
      <c r="G241" t="s">
        <v>103</v>
      </c>
      <c r="H241" t="s">
        <v>25</v>
      </c>
      <c r="I241" t="s">
        <v>26</v>
      </c>
      <c r="J241">
        <v>148</v>
      </c>
      <c r="K241">
        <v>442.45</v>
      </c>
      <c r="L241">
        <v>124.65</v>
      </c>
      <c r="M241">
        <v>0.28170000000000001</v>
      </c>
      <c r="N241">
        <v>-197.19</v>
      </c>
      <c r="O241">
        <v>-0.44569999999999999</v>
      </c>
      <c r="P241">
        <v>0.5</v>
      </c>
      <c r="Q241">
        <v>0.29499999999999998</v>
      </c>
      <c r="R241">
        <v>0</v>
      </c>
      <c r="S241">
        <v>39.950000000000003</v>
      </c>
      <c r="T241">
        <v>45.66</v>
      </c>
      <c r="U241">
        <v>30000</v>
      </c>
      <c r="V241">
        <v>2730000</v>
      </c>
    </row>
    <row r="242" spans="1:22" x14ac:dyDescent="0.25">
      <c r="A242" t="s">
        <v>42</v>
      </c>
      <c r="B242" t="s">
        <v>43</v>
      </c>
      <c r="C242" t="str">
        <f t="shared" si="6"/>
        <v>2021</v>
      </c>
      <c r="D242" t="str">
        <f t="shared" si="7"/>
        <v>01</v>
      </c>
      <c r="E242" t="s">
        <v>37</v>
      </c>
      <c r="F242" t="s">
        <v>102</v>
      </c>
      <c r="G242" t="s">
        <v>103</v>
      </c>
      <c r="H242" t="s">
        <v>25</v>
      </c>
      <c r="I242" t="s">
        <v>26</v>
      </c>
      <c r="J242">
        <v>148</v>
      </c>
      <c r="K242">
        <v>397.13</v>
      </c>
      <c r="L242">
        <v>234.15</v>
      </c>
      <c r="M242">
        <v>0.58960000000000001</v>
      </c>
      <c r="N242">
        <v>-170</v>
      </c>
      <c r="O242">
        <v>-0.42810000000000004</v>
      </c>
      <c r="P242">
        <v>0.45</v>
      </c>
      <c r="Q242">
        <v>0.4</v>
      </c>
      <c r="R242">
        <v>0</v>
      </c>
      <c r="S242">
        <v>75.489999999999995</v>
      </c>
      <c r="T242">
        <v>85.77</v>
      </c>
      <c r="U242">
        <v>30000</v>
      </c>
      <c r="V242">
        <v>2730000</v>
      </c>
    </row>
    <row r="243" spans="1:22" x14ac:dyDescent="0.25">
      <c r="A243" t="s">
        <v>44</v>
      </c>
      <c r="B243" t="s">
        <v>45</v>
      </c>
      <c r="C243" t="str">
        <f t="shared" si="6"/>
        <v>2021</v>
      </c>
      <c r="D243" t="str">
        <f t="shared" si="7"/>
        <v>04</v>
      </c>
      <c r="E243" t="s">
        <v>37</v>
      </c>
      <c r="F243" t="s">
        <v>102</v>
      </c>
      <c r="G243" t="s">
        <v>103</v>
      </c>
      <c r="H243" t="s">
        <v>25</v>
      </c>
      <c r="I243" t="s">
        <v>26</v>
      </c>
      <c r="J243">
        <v>148</v>
      </c>
      <c r="K243">
        <v>416.93</v>
      </c>
      <c r="L243">
        <v>248.21</v>
      </c>
      <c r="M243">
        <v>0.59530000000000005</v>
      </c>
      <c r="N243">
        <v>-133.57</v>
      </c>
      <c r="O243">
        <v>-0.32040000000000002</v>
      </c>
      <c r="P243">
        <v>0.48</v>
      </c>
      <c r="Q243">
        <v>0.28399999999999997</v>
      </c>
      <c r="R243">
        <v>0.72</v>
      </c>
      <c r="S243">
        <v>76.83</v>
      </c>
      <c r="T243">
        <v>90.92</v>
      </c>
      <c r="U243">
        <v>30000</v>
      </c>
      <c r="V243">
        <v>2730000</v>
      </c>
    </row>
    <row r="244" spans="1:22" x14ac:dyDescent="0.25">
      <c r="A244" t="s">
        <v>46</v>
      </c>
      <c r="B244" t="s">
        <v>47</v>
      </c>
      <c r="C244" t="str">
        <f t="shared" si="6"/>
        <v>2021</v>
      </c>
      <c r="D244" t="str">
        <f t="shared" si="7"/>
        <v>07</v>
      </c>
      <c r="E244" t="s">
        <v>48</v>
      </c>
      <c r="F244" t="s">
        <v>102</v>
      </c>
      <c r="G244" t="s">
        <v>103</v>
      </c>
      <c r="H244" t="s">
        <v>25</v>
      </c>
      <c r="I244" t="s">
        <v>26</v>
      </c>
      <c r="J244">
        <v>148</v>
      </c>
      <c r="K244">
        <v>1100.83</v>
      </c>
      <c r="L244">
        <v>245.48</v>
      </c>
      <c r="M244">
        <v>0.223</v>
      </c>
      <c r="N244">
        <v>25.01</v>
      </c>
      <c r="O244">
        <v>2.2700000000000001E-2</v>
      </c>
      <c r="P244">
        <v>1.28</v>
      </c>
      <c r="Q244">
        <v>0.06</v>
      </c>
      <c r="R244">
        <v>0</v>
      </c>
      <c r="S244">
        <v>78.97</v>
      </c>
      <c r="T244">
        <v>89.92</v>
      </c>
      <c r="U244">
        <v>30000</v>
      </c>
      <c r="V244">
        <v>2730000</v>
      </c>
    </row>
    <row r="245" spans="1:22" x14ac:dyDescent="0.25">
      <c r="A245" t="s">
        <v>49</v>
      </c>
      <c r="B245" t="s">
        <v>50</v>
      </c>
      <c r="C245" t="str">
        <f t="shared" si="6"/>
        <v>2021</v>
      </c>
      <c r="D245" t="str">
        <f t="shared" si="7"/>
        <v>10</v>
      </c>
      <c r="E245" t="s">
        <v>48</v>
      </c>
      <c r="F245" t="s">
        <v>102</v>
      </c>
      <c r="G245" t="s">
        <v>103</v>
      </c>
      <c r="H245" t="s">
        <v>25</v>
      </c>
      <c r="I245" t="s">
        <v>26</v>
      </c>
      <c r="J245">
        <v>148</v>
      </c>
      <c r="K245">
        <v>965.32</v>
      </c>
      <c r="L245">
        <v>284.60000000000002</v>
      </c>
      <c r="M245">
        <v>0.29480000000000001</v>
      </c>
      <c r="N245">
        <v>-40.18</v>
      </c>
      <c r="O245">
        <v>-4.1599999999999998E-2</v>
      </c>
      <c r="P245">
        <v>0.99</v>
      </c>
      <c r="Q245">
        <v>0.32899999999999996</v>
      </c>
      <c r="R245">
        <v>14.83</v>
      </c>
      <c r="S245">
        <v>86.82</v>
      </c>
      <c r="T245">
        <v>104.25</v>
      </c>
      <c r="U245">
        <v>30000</v>
      </c>
      <c r="V245">
        <v>2730000</v>
      </c>
    </row>
    <row r="246" spans="1:22" x14ac:dyDescent="0.25">
      <c r="A246" t="s">
        <v>51</v>
      </c>
      <c r="B246" t="s">
        <v>52</v>
      </c>
      <c r="C246" t="str">
        <f t="shared" si="6"/>
        <v>2022</v>
      </c>
      <c r="D246" t="str">
        <f t="shared" si="7"/>
        <v>01</v>
      </c>
      <c r="E246" t="s">
        <v>48</v>
      </c>
      <c r="F246" t="s">
        <v>102</v>
      </c>
      <c r="G246" t="s">
        <v>103</v>
      </c>
      <c r="H246" t="s">
        <v>25</v>
      </c>
      <c r="I246" t="s">
        <v>26</v>
      </c>
      <c r="J246">
        <v>148</v>
      </c>
      <c r="K246">
        <v>936.6</v>
      </c>
      <c r="L246">
        <v>222.33</v>
      </c>
      <c r="M246">
        <v>0.23739999999999997</v>
      </c>
      <c r="N246">
        <v>9.16</v>
      </c>
      <c r="O246">
        <v>9.7999999999999997E-3</v>
      </c>
      <c r="P246">
        <v>1.03</v>
      </c>
      <c r="Q246">
        <v>0.10400000000000001</v>
      </c>
      <c r="R246">
        <v>0</v>
      </c>
      <c r="S246">
        <v>72.010000000000005</v>
      </c>
      <c r="T246">
        <v>81.44</v>
      </c>
      <c r="U246">
        <v>30000</v>
      </c>
      <c r="V246">
        <v>2730000</v>
      </c>
    </row>
    <row r="247" spans="1:22" x14ac:dyDescent="0.25">
      <c r="A247" t="s">
        <v>53</v>
      </c>
      <c r="B247" t="s">
        <v>54</v>
      </c>
      <c r="C247" t="str">
        <f t="shared" si="6"/>
        <v>2022</v>
      </c>
      <c r="D247" t="str">
        <f t="shared" si="7"/>
        <v>04</v>
      </c>
      <c r="E247" t="s">
        <v>55</v>
      </c>
      <c r="F247" t="s">
        <v>102</v>
      </c>
      <c r="G247" t="s">
        <v>103</v>
      </c>
      <c r="H247" t="s">
        <v>25</v>
      </c>
      <c r="I247" t="s">
        <v>26</v>
      </c>
      <c r="J247">
        <v>148</v>
      </c>
      <c r="K247">
        <v>1265.1199999999999</v>
      </c>
      <c r="L247">
        <v>359.35</v>
      </c>
      <c r="M247">
        <v>0.28399999999999997</v>
      </c>
      <c r="N247">
        <v>112.4</v>
      </c>
      <c r="O247">
        <v>8.8800000000000004E-2</v>
      </c>
      <c r="P247">
        <v>1.5</v>
      </c>
      <c r="Q247">
        <v>0.31900000000000001</v>
      </c>
      <c r="R247">
        <v>53.02</v>
      </c>
      <c r="S247">
        <v>109.53</v>
      </c>
      <c r="T247">
        <v>131.63</v>
      </c>
      <c r="U247">
        <v>30000</v>
      </c>
      <c r="V247">
        <v>2730000</v>
      </c>
    </row>
    <row r="248" spans="1:22" x14ac:dyDescent="0.25">
      <c r="A248" t="s">
        <v>56</v>
      </c>
      <c r="B248" t="s">
        <v>57</v>
      </c>
      <c r="C248" t="str">
        <f t="shared" si="6"/>
        <v>2022</v>
      </c>
      <c r="D248" t="str">
        <f t="shared" si="7"/>
        <v>07</v>
      </c>
      <c r="E248" t="s">
        <v>55</v>
      </c>
      <c r="F248" t="s">
        <v>102</v>
      </c>
      <c r="G248" t="s">
        <v>103</v>
      </c>
      <c r="H248" t="s">
        <v>25</v>
      </c>
      <c r="I248" t="s">
        <v>26</v>
      </c>
      <c r="J248">
        <v>148</v>
      </c>
      <c r="K248">
        <v>1364.78</v>
      </c>
      <c r="L248">
        <v>257.95999999999998</v>
      </c>
      <c r="M248">
        <v>0.18899999999999997</v>
      </c>
      <c r="N248">
        <v>109.57</v>
      </c>
      <c r="O248">
        <v>8.0299999999999996E-2</v>
      </c>
      <c r="P248">
        <v>1.37</v>
      </c>
      <c r="Q248">
        <v>0.39700000000000002</v>
      </c>
      <c r="R248">
        <v>5.1100000000000003</v>
      </c>
      <c r="S248">
        <v>80.69</v>
      </c>
      <c r="T248">
        <v>94.49</v>
      </c>
      <c r="U248">
        <v>30000</v>
      </c>
      <c r="V248">
        <v>2730000</v>
      </c>
    </row>
    <row r="249" spans="1:22" x14ac:dyDescent="0.25">
      <c r="A249" t="s">
        <v>58</v>
      </c>
      <c r="B249" t="s">
        <v>59</v>
      </c>
      <c r="C249" t="str">
        <f t="shared" si="6"/>
        <v>2022</v>
      </c>
      <c r="D249" t="str">
        <f t="shared" si="7"/>
        <v>10</v>
      </c>
      <c r="E249" t="s">
        <v>55</v>
      </c>
      <c r="F249" t="s">
        <v>102</v>
      </c>
      <c r="G249" t="s">
        <v>103</v>
      </c>
      <c r="H249" t="s">
        <v>25</v>
      </c>
      <c r="I249" t="s">
        <v>26</v>
      </c>
      <c r="J249">
        <v>148</v>
      </c>
      <c r="K249">
        <v>1379.18</v>
      </c>
      <c r="L249">
        <v>288.18</v>
      </c>
      <c r="M249">
        <v>0.2089</v>
      </c>
      <c r="N249">
        <v>93.12</v>
      </c>
      <c r="O249">
        <v>6.7500000000000004E-2</v>
      </c>
      <c r="P249">
        <v>1.54</v>
      </c>
      <c r="Q249">
        <v>0.34499999999999997</v>
      </c>
      <c r="R249">
        <v>17.190000000000001</v>
      </c>
      <c r="S249">
        <v>93.25</v>
      </c>
      <c r="T249">
        <v>105.56</v>
      </c>
      <c r="U249">
        <v>30000</v>
      </c>
      <c r="V249">
        <v>2730000</v>
      </c>
    </row>
    <row r="250" spans="1:22" x14ac:dyDescent="0.25">
      <c r="A250" t="s">
        <v>60</v>
      </c>
      <c r="B250" t="s">
        <v>61</v>
      </c>
      <c r="C250" t="str">
        <f t="shared" si="6"/>
        <v>2023</v>
      </c>
      <c r="D250" t="str">
        <f t="shared" si="7"/>
        <v>01</v>
      </c>
      <c r="E250" t="s">
        <v>62</v>
      </c>
      <c r="F250" t="s">
        <v>102</v>
      </c>
      <c r="G250" t="s">
        <v>103</v>
      </c>
      <c r="H250" t="s">
        <v>25</v>
      </c>
      <c r="I250" t="s">
        <v>26</v>
      </c>
      <c r="J250">
        <v>148</v>
      </c>
      <c r="K250">
        <v>1320.84</v>
      </c>
      <c r="L250">
        <v>265.16000000000003</v>
      </c>
      <c r="M250">
        <v>0.20079999999999998</v>
      </c>
      <c r="N250">
        <v>155.63999999999999</v>
      </c>
      <c r="O250">
        <v>0.11779999999999999</v>
      </c>
      <c r="P250">
        <v>1.5</v>
      </c>
      <c r="Q250">
        <v>0.14000000000000001</v>
      </c>
      <c r="R250">
        <v>2.94</v>
      </c>
      <c r="S250">
        <v>84.29</v>
      </c>
      <c r="T250">
        <v>97.13</v>
      </c>
      <c r="U250">
        <v>30000</v>
      </c>
      <c r="V250">
        <v>2730000</v>
      </c>
    </row>
    <row r="251" spans="1:22" x14ac:dyDescent="0.25">
      <c r="A251" t="s">
        <v>63</v>
      </c>
      <c r="B251" t="s">
        <v>64</v>
      </c>
      <c r="C251" t="str">
        <f t="shared" si="6"/>
        <v>2023</v>
      </c>
      <c r="D251" t="str">
        <f t="shared" si="7"/>
        <v>04</v>
      </c>
      <c r="E251" t="s">
        <v>62</v>
      </c>
      <c r="F251" t="s">
        <v>102</v>
      </c>
      <c r="G251" t="s">
        <v>103</v>
      </c>
      <c r="H251" t="s">
        <v>25</v>
      </c>
      <c r="I251" t="s">
        <v>26</v>
      </c>
      <c r="J251">
        <v>148</v>
      </c>
      <c r="K251">
        <v>1308.24</v>
      </c>
      <c r="L251">
        <v>278.38</v>
      </c>
      <c r="M251">
        <v>0.21280000000000002</v>
      </c>
      <c r="N251">
        <v>121.49</v>
      </c>
      <c r="O251">
        <v>9.2899999999999996E-2</v>
      </c>
      <c r="P251">
        <v>1.42</v>
      </c>
      <c r="Q251">
        <v>0.154</v>
      </c>
      <c r="R251">
        <v>5.7</v>
      </c>
      <c r="S251">
        <v>88.18</v>
      </c>
      <c r="T251">
        <v>101.97</v>
      </c>
      <c r="U251">
        <v>30000</v>
      </c>
      <c r="V251">
        <v>2730000</v>
      </c>
    </row>
    <row r="252" spans="1:22" x14ac:dyDescent="0.25">
      <c r="A252" t="s">
        <v>65</v>
      </c>
      <c r="B252" t="s">
        <v>66</v>
      </c>
      <c r="C252" t="str">
        <f t="shared" si="6"/>
        <v>2023</v>
      </c>
      <c r="D252" t="str">
        <f t="shared" si="7"/>
        <v>07</v>
      </c>
      <c r="E252" t="s">
        <v>62</v>
      </c>
      <c r="F252" t="s">
        <v>102</v>
      </c>
      <c r="G252" t="s">
        <v>103</v>
      </c>
      <c r="H252" t="s">
        <v>25</v>
      </c>
      <c r="I252" t="s">
        <v>26</v>
      </c>
      <c r="J252">
        <v>148</v>
      </c>
      <c r="K252">
        <v>1256.08</v>
      </c>
      <c r="L252">
        <v>266.23</v>
      </c>
      <c r="M252">
        <v>0.21199999999999999</v>
      </c>
      <c r="N252">
        <v>64.98</v>
      </c>
      <c r="O252">
        <v>5.1699999999999996E-2</v>
      </c>
      <c r="P252">
        <v>1.33</v>
      </c>
      <c r="Q252">
        <v>0.26200000000000001</v>
      </c>
      <c r="R252">
        <v>5.83</v>
      </c>
      <c r="S252">
        <v>85.16</v>
      </c>
      <c r="T252">
        <v>97.52</v>
      </c>
      <c r="U252">
        <v>30000</v>
      </c>
      <c r="V252">
        <v>2730000</v>
      </c>
    </row>
    <row r="253" spans="1:22" x14ac:dyDescent="0.25">
      <c r="A253" t="s">
        <v>67</v>
      </c>
      <c r="B253" t="s">
        <v>68</v>
      </c>
      <c r="C253" t="str">
        <f t="shared" si="6"/>
        <v>2023</v>
      </c>
      <c r="D253" t="str">
        <f t="shared" si="7"/>
        <v>10</v>
      </c>
      <c r="E253" t="s">
        <v>69</v>
      </c>
      <c r="F253" t="s">
        <v>102</v>
      </c>
      <c r="G253" t="s">
        <v>103</v>
      </c>
      <c r="H253" t="s">
        <v>25</v>
      </c>
      <c r="I253" t="s">
        <v>26</v>
      </c>
      <c r="J253">
        <v>148</v>
      </c>
      <c r="K253">
        <v>1350.41</v>
      </c>
      <c r="L253">
        <v>245.59</v>
      </c>
      <c r="M253">
        <v>0.18190000000000001</v>
      </c>
      <c r="N253">
        <v>187.02</v>
      </c>
      <c r="O253">
        <v>0.13849999999999998</v>
      </c>
      <c r="P253">
        <v>1.61</v>
      </c>
      <c r="Q253">
        <v>0.52900000000000003</v>
      </c>
      <c r="R253">
        <v>0</v>
      </c>
      <c r="S253">
        <v>78.33</v>
      </c>
      <c r="T253">
        <v>89.96</v>
      </c>
      <c r="U253">
        <v>30000</v>
      </c>
      <c r="V253">
        <v>2730000</v>
      </c>
    </row>
    <row r="254" spans="1:22" x14ac:dyDescent="0.25">
      <c r="A254" t="s">
        <v>70</v>
      </c>
      <c r="B254" t="s">
        <v>71</v>
      </c>
      <c r="C254" t="str">
        <f t="shared" si="6"/>
        <v>2024</v>
      </c>
      <c r="D254" t="str">
        <f t="shared" si="7"/>
        <v>01</v>
      </c>
      <c r="E254" t="s">
        <v>69</v>
      </c>
      <c r="F254" t="s">
        <v>102</v>
      </c>
      <c r="G254" t="s">
        <v>103</v>
      </c>
      <c r="H254" t="s">
        <v>25</v>
      </c>
      <c r="I254" t="s">
        <v>26</v>
      </c>
      <c r="J254">
        <v>148</v>
      </c>
      <c r="K254">
        <v>1372.52</v>
      </c>
      <c r="L254">
        <v>270.32</v>
      </c>
      <c r="M254">
        <v>0.19699999999999998</v>
      </c>
      <c r="N254">
        <v>136.71</v>
      </c>
      <c r="O254">
        <v>9.9600000000000008E-2</v>
      </c>
      <c r="P254">
        <v>1.44</v>
      </c>
      <c r="Q254">
        <v>0.307</v>
      </c>
      <c r="R254">
        <v>8.32</v>
      </c>
      <c r="S254">
        <v>84.61</v>
      </c>
      <c r="T254">
        <v>99.02</v>
      </c>
      <c r="U254">
        <v>30000</v>
      </c>
      <c r="V254">
        <v>2730000</v>
      </c>
    </row>
    <row r="255" spans="1:22" x14ac:dyDescent="0.25">
      <c r="A255" t="s">
        <v>72</v>
      </c>
      <c r="B255" t="s">
        <v>73</v>
      </c>
      <c r="C255" t="str">
        <f t="shared" si="6"/>
        <v>2024</v>
      </c>
      <c r="D255" t="str">
        <f t="shared" si="7"/>
        <v>04</v>
      </c>
      <c r="E255" t="s">
        <v>69</v>
      </c>
      <c r="F255" t="s">
        <v>102</v>
      </c>
      <c r="G255" t="s">
        <v>103</v>
      </c>
      <c r="H255" t="s">
        <v>25</v>
      </c>
      <c r="I255" t="s">
        <v>26</v>
      </c>
      <c r="J255">
        <v>148</v>
      </c>
      <c r="K255">
        <v>1259.0899999999999</v>
      </c>
      <c r="L255">
        <v>277.86</v>
      </c>
      <c r="M255">
        <v>0.22070000000000001</v>
      </c>
      <c r="N255">
        <v>121.68</v>
      </c>
      <c r="O255">
        <v>9.6600000000000005E-2</v>
      </c>
      <c r="P255">
        <v>1.26</v>
      </c>
      <c r="Q255">
        <v>0.12300000000000001</v>
      </c>
      <c r="R255">
        <v>4.47</v>
      </c>
      <c r="S255">
        <v>84.06</v>
      </c>
      <c r="T255">
        <v>101.78</v>
      </c>
      <c r="U255">
        <v>30000</v>
      </c>
      <c r="V255">
        <v>2730000</v>
      </c>
    </row>
    <row r="256" spans="1:22" x14ac:dyDescent="0.25">
      <c r="A256" t="s">
        <v>74</v>
      </c>
      <c r="B256" t="s">
        <v>75</v>
      </c>
      <c r="C256" t="str">
        <f t="shared" si="6"/>
        <v>2024</v>
      </c>
      <c r="D256" t="str">
        <f t="shared" si="7"/>
        <v>07</v>
      </c>
      <c r="E256" t="s">
        <v>69</v>
      </c>
      <c r="F256" t="s">
        <v>102</v>
      </c>
      <c r="G256" t="s">
        <v>103</v>
      </c>
      <c r="H256" t="s">
        <v>25</v>
      </c>
      <c r="I256" t="s">
        <v>26</v>
      </c>
      <c r="J256">
        <v>148</v>
      </c>
      <c r="K256">
        <v>1355.38</v>
      </c>
      <c r="L256">
        <v>256.57</v>
      </c>
      <c r="M256">
        <v>0.1893</v>
      </c>
      <c r="N256">
        <v>91.74</v>
      </c>
      <c r="O256">
        <v>6.7699999999999996E-2</v>
      </c>
      <c r="P256">
        <v>1.47</v>
      </c>
      <c r="Q256">
        <v>0.54100000000000004</v>
      </c>
      <c r="R256">
        <v>6.14</v>
      </c>
      <c r="S256">
        <v>80.400000000000006</v>
      </c>
      <c r="T256">
        <v>93.98</v>
      </c>
      <c r="U256">
        <v>30000</v>
      </c>
      <c r="V256">
        <v>2730000</v>
      </c>
    </row>
    <row r="257" spans="1:22" x14ac:dyDescent="0.25">
      <c r="A257" t="s">
        <v>76</v>
      </c>
      <c r="B257" t="s">
        <v>77</v>
      </c>
      <c r="C257" t="str">
        <f t="shared" si="6"/>
        <v>2024</v>
      </c>
      <c r="D257" t="str">
        <f t="shared" si="7"/>
        <v>10</v>
      </c>
      <c r="E257" t="s">
        <v>69</v>
      </c>
      <c r="F257" t="s">
        <v>102</v>
      </c>
      <c r="G257" t="s">
        <v>103</v>
      </c>
      <c r="H257" t="s">
        <v>25</v>
      </c>
      <c r="I257" t="s">
        <v>26</v>
      </c>
      <c r="J257">
        <v>148</v>
      </c>
      <c r="K257">
        <v>1242.53</v>
      </c>
      <c r="L257">
        <v>307.18</v>
      </c>
      <c r="M257">
        <v>0.24719999999999998</v>
      </c>
      <c r="N257">
        <v>52.53</v>
      </c>
      <c r="O257">
        <v>4.2300000000000004E-2</v>
      </c>
      <c r="P257">
        <v>1.3</v>
      </c>
      <c r="Q257">
        <v>0.44500000000000001</v>
      </c>
      <c r="R257">
        <v>34.200000000000003</v>
      </c>
      <c r="S257">
        <v>94.78</v>
      </c>
      <c r="T257">
        <v>112.52</v>
      </c>
      <c r="U257">
        <v>30000</v>
      </c>
      <c r="V257">
        <v>2730000</v>
      </c>
    </row>
    <row r="258" spans="1:22" x14ac:dyDescent="0.25">
      <c r="A258" t="s">
        <v>78</v>
      </c>
      <c r="B258" t="s">
        <v>79</v>
      </c>
      <c r="C258" t="str">
        <f t="shared" si="6"/>
        <v>2025</v>
      </c>
      <c r="D258" t="str">
        <f t="shared" si="7"/>
        <v>01</v>
      </c>
      <c r="E258" t="s">
        <v>80</v>
      </c>
      <c r="F258" t="s">
        <v>102</v>
      </c>
      <c r="G258" t="s">
        <v>103</v>
      </c>
      <c r="H258" t="s">
        <v>25</v>
      </c>
      <c r="I258" t="s">
        <v>26</v>
      </c>
      <c r="J258">
        <v>148</v>
      </c>
      <c r="K258">
        <v>1274.9000000000001</v>
      </c>
      <c r="L258">
        <v>277.2</v>
      </c>
      <c r="M258">
        <v>0.21739999999999998</v>
      </c>
      <c r="N258">
        <v>161.11000000000001</v>
      </c>
      <c r="O258">
        <v>0.12640000000000001</v>
      </c>
      <c r="P258">
        <v>1.37</v>
      </c>
      <c r="Q258">
        <v>0.184</v>
      </c>
      <c r="R258">
        <v>6.54</v>
      </c>
      <c r="S258">
        <v>85.13</v>
      </c>
      <c r="T258">
        <v>101.54</v>
      </c>
      <c r="U258">
        <v>30000</v>
      </c>
      <c r="V258">
        <v>2730000</v>
      </c>
    </row>
    <row r="259" spans="1:22" x14ac:dyDescent="0.25">
      <c r="A259" t="s">
        <v>81</v>
      </c>
      <c r="B259" t="s">
        <v>82</v>
      </c>
      <c r="C259" t="str">
        <f t="shared" ref="C259:C322" si="8">LEFT(B259,4)</f>
        <v>2025</v>
      </c>
      <c r="D259" t="str">
        <f t="shared" ref="D259:D322" si="9">RIGHT(B259,2)</f>
        <v>04</v>
      </c>
      <c r="E259" t="s">
        <v>80</v>
      </c>
      <c r="F259" t="s">
        <v>102</v>
      </c>
      <c r="G259" t="s">
        <v>103</v>
      </c>
      <c r="H259" t="s">
        <v>25</v>
      </c>
      <c r="I259" t="s">
        <v>26</v>
      </c>
      <c r="J259">
        <v>148</v>
      </c>
      <c r="K259">
        <v>1274.3599999999999</v>
      </c>
      <c r="L259">
        <v>328.77</v>
      </c>
      <c r="M259">
        <v>0.25800000000000001</v>
      </c>
      <c r="N259">
        <v>124.12</v>
      </c>
      <c r="O259">
        <v>9.74E-2</v>
      </c>
      <c r="P259">
        <v>1.51</v>
      </c>
      <c r="Q259">
        <v>0.26400000000000001</v>
      </c>
      <c r="R259">
        <v>29.35</v>
      </c>
      <c r="S259">
        <v>101.77</v>
      </c>
      <c r="T259">
        <v>120.43</v>
      </c>
      <c r="U259">
        <v>30000</v>
      </c>
      <c r="V259">
        <v>2730000</v>
      </c>
    </row>
    <row r="260" spans="1:22" x14ac:dyDescent="0.25">
      <c r="A260" t="s">
        <v>83</v>
      </c>
      <c r="B260" t="s">
        <v>84</v>
      </c>
      <c r="C260" t="str">
        <f t="shared" si="8"/>
        <v>2025</v>
      </c>
      <c r="D260" t="str">
        <f t="shared" si="9"/>
        <v>07</v>
      </c>
      <c r="E260" t="s">
        <v>80</v>
      </c>
      <c r="F260" t="s">
        <v>102</v>
      </c>
      <c r="G260" t="s">
        <v>103</v>
      </c>
      <c r="H260" t="s">
        <v>25</v>
      </c>
      <c r="I260" t="s">
        <v>26</v>
      </c>
      <c r="J260">
        <v>148</v>
      </c>
      <c r="K260">
        <v>1277.68</v>
      </c>
      <c r="L260">
        <v>306.36</v>
      </c>
      <c r="M260">
        <v>0.23980000000000001</v>
      </c>
      <c r="N260">
        <v>104.88</v>
      </c>
      <c r="O260">
        <v>8.2100000000000006E-2</v>
      </c>
      <c r="P260">
        <v>1.53</v>
      </c>
      <c r="Q260">
        <v>0.217</v>
      </c>
      <c r="R260">
        <v>16.41</v>
      </c>
      <c r="S260">
        <v>93.24</v>
      </c>
      <c r="T260">
        <v>112.22</v>
      </c>
      <c r="U260">
        <v>30000</v>
      </c>
      <c r="V260">
        <v>2730000</v>
      </c>
    </row>
    <row r="261" spans="1:22" x14ac:dyDescent="0.25">
      <c r="A261" t="s">
        <v>85</v>
      </c>
      <c r="B261" t="s">
        <v>86</v>
      </c>
      <c r="C261" t="str">
        <f t="shared" si="8"/>
        <v>2025</v>
      </c>
      <c r="D261" t="str">
        <f t="shared" si="9"/>
        <v>10</v>
      </c>
      <c r="E261" t="s">
        <v>80</v>
      </c>
      <c r="F261" t="s">
        <v>102</v>
      </c>
      <c r="G261" t="s">
        <v>103</v>
      </c>
      <c r="H261" t="s">
        <v>25</v>
      </c>
      <c r="I261" t="s">
        <v>26</v>
      </c>
      <c r="J261">
        <v>148</v>
      </c>
      <c r="K261">
        <v>1345.82</v>
      </c>
      <c r="L261">
        <v>304.86</v>
      </c>
      <c r="M261">
        <v>0.22649999999999998</v>
      </c>
      <c r="N261">
        <v>98.21</v>
      </c>
      <c r="O261">
        <v>7.2999999999999995E-2</v>
      </c>
      <c r="P261">
        <v>1.54</v>
      </c>
      <c r="Q261">
        <v>0.57299999999999995</v>
      </c>
      <c r="R261">
        <v>42.06</v>
      </c>
      <c r="S261">
        <v>99.34</v>
      </c>
      <c r="T261">
        <v>111.67</v>
      </c>
      <c r="U261">
        <v>30000</v>
      </c>
      <c r="V261">
        <v>2730000</v>
      </c>
    </row>
    <row r="262" spans="1:22" x14ac:dyDescent="0.25">
      <c r="A262" t="s">
        <v>87</v>
      </c>
      <c r="B262" t="s">
        <v>88</v>
      </c>
      <c r="C262" t="str">
        <f t="shared" si="8"/>
        <v>2026</v>
      </c>
      <c r="D262" t="str">
        <f t="shared" si="9"/>
        <v>01</v>
      </c>
      <c r="E262" t="s">
        <v>89</v>
      </c>
      <c r="F262" t="s">
        <v>102</v>
      </c>
      <c r="G262" t="s">
        <v>103</v>
      </c>
      <c r="H262" t="s">
        <v>25</v>
      </c>
      <c r="I262" t="s">
        <v>26</v>
      </c>
      <c r="J262">
        <v>148</v>
      </c>
      <c r="K262">
        <v>844.53</v>
      </c>
      <c r="L262">
        <v>400.76</v>
      </c>
      <c r="M262">
        <v>0.47450000000000003</v>
      </c>
      <c r="N262">
        <v>-51.1</v>
      </c>
      <c r="O262">
        <v>-6.0499999999999998E-2</v>
      </c>
      <c r="P262">
        <v>0.95</v>
      </c>
      <c r="Q262">
        <v>0.63400000000000001</v>
      </c>
      <c r="R262">
        <v>160.36000000000001</v>
      </c>
      <c r="S262">
        <v>130.88</v>
      </c>
      <c r="T262">
        <v>146.80000000000001</v>
      </c>
      <c r="U262">
        <v>30000</v>
      </c>
      <c r="V262">
        <v>2730000</v>
      </c>
    </row>
    <row r="263" spans="1:22" x14ac:dyDescent="0.25">
      <c r="A263" t="s">
        <v>20</v>
      </c>
      <c r="B263" t="s">
        <v>21</v>
      </c>
      <c r="C263" t="str">
        <f t="shared" si="8"/>
        <v>2019</v>
      </c>
      <c r="D263" t="str">
        <f t="shared" si="9"/>
        <v>01</v>
      </c>
      <c r="E263" t="s">
        <v>22</v>
      </c>
      <c r="F263" t="s">
        <v>104</v>
      </c>
      <c r="G263" t="s">
        <v>103</v>
      </c>
      <c r="H263" t="s">
        <v>25</v>
      </c>
      <c r="I263" t="s">
        <v>94</v>
      </c>
      <c r="J263">
        <v>43</v>
      </c>
      <c r="K263">
        <v>234.92</v>
      </c>
      <c r="L263">
        <v>54.29</v>
      </c>
      <c r="M263">
        <v>0.2311</v>
      </c>
      <c r="N263">
        <v>24.73</v>
      </c>
      <c r="O263">
        <v>0.10529999999999999</v>
      </c>
      <c r="P263">
        <v>0.46</v>
      </c>
      <c r="Q263">
        <v>5.4000000000000006E-2</v>
      </c>
      <c r="R263">
        <v>0</v>
      </c>
      <c r="S263">
        <v>63</v>
      </c>
      <c r="T263">
        <v>74.58</v>
      </c>
      <c r="U263">
        <v>8000</v>
      </c>
      <c r="V263">
        <v>728000</v>
      </c>
    </row>
    <row r="264" spans="1:22" x14ac:dyDescent="0.25">
      <c r="A264" t="s">
        <v>27</v>
      </c>
      <c r="B264" t="s">
        <v>28</v>
      </c>
      <c r="C264" t="str">
        <f t="shared" si="8"/>
        <v>2019</v>
      </c>
      <c r="D264" t="str">
        <f t="shared" si="9"/>
        <v>04</v>
      </c>
      <c r="E264" t="s">
        <v>22</v>
      </c>
      <c r="F264" t="s">
        <v>104</v>
      </c>
      <c r="G264" t="s">
        <v>103</v>
      </c>
      <c r="H264" t="s">
        <v>25</v>
      </c>
      <c r="I264" t="s">
        <v>94</v>
      </c>
      <c r="J264">
        <v>43</v>
      </c>
      <c r="K264">
        <v>221.27</v>
      </c>
      <c r="L264">
        <v>53.39</v>
      </c>
      <c r="M264">
        <v>0.24129999999999999</v>
      </c>
      <c r="N264">
        <v>13.63</v>
      </c>
      <c r="O264">
        <v>6.1600000000000002E-2</v>
      </c>
      <c r="P264">
        <v>0.38</v>
      </c>
      <c r="Q264">
        <v>0.37799999999999995</v>
      </c>
      <c r="R264">
        <v>0</v>
      </c>
      <c r="S264">
        <v>64.790000000000006</v>
      </c>
      <c r="T264">
        <v>73.34</v>
      </c>
      <c r="U264">
        <v>8000</v>
      </c>
      <c r="V264">
        <v>728000</v>
      </c>
    </row>
    <row r="265" spans="1:22" x14ac:dyDescent="0.25">
      <c r="A265" t="s">
        <v>29</v>
      </c>
      <c r="B265" t="s">
        <v>30</v>
      </c>
      <c r="C265" t="str">
        <f t="shared" si="8"/>
        <v>2019</v>
      </c>
      <c r="D265" t="str">
        <f t="shared" si="9"/>
        <v>07</v>
      </c>
      <c r="E265" t="s">
        <v>22</v>
      </c>
      <c r="F265" t="s">
        <v>104</v>
      </c>
      <c r="G265" t="s">
        <v>103</v>
      </c>
      <c r="H265" t="s">
        <v>25</v>
      </c>
      <c r="I265" t="s">
        <v>94</v>
      </c>
      <c r="J265">
        <v>43</v>
      </c>
      <c r="K265">
        <v>217.58</v>
      </c>
      <c r="L265">
        <v>51.77</v>
      </c>
      <c r="M265">
        <v>0.2379</v>
      </c>
      <c r="N265">
        <v>14.42</v>
      </c>
      <c r="O265">
        <v>6.6299999999999998E-2</v>
      </c>
      <c r="P265">
        <v>0.39</v>
      </c>
      <c r="Q265">
        <v>0.26899999999999996</v>
      </c>
      <c r="R265">
        <v>0</v>
      </c>
      <c r="S265">
        <v>60.46</v>
      </c>
      <c r="T265">
        <v>71.11</v>
      </c>
      <c r="U265">
        <v>8000</v>
      </c>
      <c r="V265">
        <v>728000</v>
      </c>
    </row>
    <row r="266" spans="1:22" x14ac:dyDescent="0.25">
      <c r="A266" t="s">
        <v>31</v>
      </c>
      <c r="B266" t="s">
        <v>32</v>
      </c>
      <c r="C266" t="str">
        <f t="shared" si="8"/>
        <v>2019</v>
      </c>
      <c r="D266" t="str">
        <f t="shared" si="9"/>
        <v>10</v>
      </c>
      <c r="E266" t="s">
        <v>22</v>
      </c>
      <c r="F266" t="s">
        <v>104</v>
      </c>
      <c r="G266" t="s">
        <v>103</v>
      </c>
      <c r="H266" t="s">
        <v>25</v>
      </c>
      <c r="I266" t="s">
        <v>94</v>
      </c>
      <c r="J266">
        <v>43</v>
      </c>
      <c r="K266">
        <v>236.2</v>
      </c>
      <c r="L266">
        <v>56.03</v>
      </c>
      <c r="M266">
        <v>0.23719999999999999</v>
      </c>
      <c r="N266">
        <v>23.73</v>
      </c>
      <c r="O266">
        <v>0.10050000000000001</v>
      </c>
      <c r="P266">
        <v>0.46</v>
      </c>
      <c r="Q266">
        <v>0.191</v>
      </c>
      <c r="R266">
        <v>0</v>
      </c>
      <c r="S266">
        <v>65.66</v>
      </c>
      <c r="T266">
        <v>76.97</v>
      </c>
      <c r="U266">
        <v>8000</v>
      </c>
      <c r="V266">
        <v>728000</v>
      </c>
    </row>
    <row r="267" spans="1:22" x14ac:dyDescent="0.25">
      <c r="A267" t="s">
        <v>33</v>
      </c>
      <c r="B267" t="s">
        <v>34</v>
      </c>
      <c r="C267" t="str">
        <f t="shared" si="8"/>
        <v>2020</v>
      </c>
      <c r="D267" t="str">
        <f t="shared" si="9"/>
        <v>01</v>
      </c>
      <c r="E267" t="s">
        <v>22</v>
      </c>
      <c r="F267" t="s">
        <v>104</v>
      </c>
      <c r="G267" t="s">
        <v>103</v>
      </c>
      <c r="H267" t="s">
        <v>25</v>
      </c>
      <c r="I267" t="s">
        <v>94</v>
      </c>
      <c r="J267">
        <v>43</v>
      </c>
      <c r="K267">
        <v>242.88</v>
      </c>
      <c r="L267">
        <v>54.88</v>
      </c>
      <c r="M267">
        <v>0.22589999999999999</v>
      </c>
      <c r="N267">
        <v>13.85</v>
      </c>
      <c r="O267">
        <v>5.7000000000000002E-2</v>
      </c>
      <c r="P267">
        <v>0.44</v>
      </c>
      <c r="Q267">
        <v>0.34100000000000003</v>
      </c>
      <c r="R267">
        <v>0</v>
      </c>
      <c r="S267">
        <v>66.66</v>
      </c>
      <c r="T267">
        <v>75.38</v>
      </c>
      <c r="U267">
        <v>8000</v>
      </c>
      <c r="V267">
        <v>728000</v>
      </c>
    </row>
    <row r="268" spans="1:22" x14ac:dyDescent="0.25">
      <c r="A268" t="s">
        <v>35</v>
      </c>
      <c r="B268" t="s">
        <v>36</v>
      </c>
      <c r="C268" t="str">
        <f t="shared" si="8"/>
        <v>2020</v>
      </c>
      <c r="D268" t="str">
        <f t="shared" si="9"/>
        <v>04</v>
      </c>
      <c r="E268" t="s">
        <v>37</v>
      </c>
      <c r="F268" t="s">
        <v>104</v>
      </c>
      <c r="G268" t="s">
        <v>103</v>
      </c>
      <c r="H268" t="s">
        <v>25</v>
      </c>
      <c r="I268" t="s">
        <v>94</v>
      </c>
      <c r="J268">
        <v>43</v>
      </c>
      <c r="K268">
        <v>44.85</v>
      </c>
      <c r="L268">
        <v>17.25</v>
      </c>
      <c r="M268">
        <v>0.38450000000000001</v>
      </c>
      <c r="N268">
        <v>-11.76</v>
      </c>
      <c r="O268">
        <v>-0.26229999999999998</v>
      </c>
      <c r="P268">
        <v>0.08</v>
      </c>
      <c r="Q268">
        <v>0.11199999999999999</v>
      </c>
      <c r="R268">
        <v>0</v>
      </c>
      <c r="S268">
        <v>20.57</v>
      </c>
      <c r="T268">
        <v>23.69</v>
      </c>
      <c r="U268">
        <v>8000</v>
      </c>
      <c r="V268">
        <v>728000</v>
      </c>
    </row>
    <row r="269" spans="1:22" x14ac:dyDescent="0.25">
      <c r="A269" t="s">
        <v>38</v>
      </c>
      <c r="B269" t="s">
        <v>39</v>
      </c>
      <c r="C269" t="str">
        <f t="shared" si="8"/>
        <v>2020</v>
      </c>
      <c r="D269" t="str">
        <f t="shared" si="9"/>
        <v>07</v>
      </c>
      <c r="E269" t="s">
        <v>37</v>
      </c>
      <c r="F269" t="s">
        <v>104</v>
      </c>
      <c r="G269" t="s">
        <v>103</v>
      </c>
      <c r="H269" t="s">
        <v>25</v>
      </c>
      <c r="I269" t="s">
        <v>94</v>
      </c>
      <c r="J269">
        <v>43</v>
      </c>
      <c r="K269">
        <v>51.9</v>
      </c>
      <c r="L269">
        <v>36.71</v>
      </c>
      <c r="M269">
        <v>0.70739999999999992</v>
      </c>
      <c r="N269">
        <v>-13.17</v>
      </c>
      <c r="O269">
        <v>-0.25379999999999997</v>
      </c>
      <c r="P269">
        <v>0.09</v>
      </c>
      <c r="Q269">
        <v>0.23100000000000001</v>
      </c>
      <c r="R269">
        <v>0</v>
      </c>
      <c r="S269">
        <v>44.05</v>
      </c>
      <c r="T269">
        <v>50.43</v>
      </c>
      <c r="U269">
        <v>8000</v>
      </c>
      <c r="V269">
        <v>728000</v>
      </c>
    </row>
    <row r="270" spans="1:22" x14ac:dyDescent="0.25">
      <c r="A270" t="s">
        <v>40</v>
      </c>
      <c r="B270" t="s">
        <v>41</v>
      </c>
      <c r="C270" t="str">
        <f t="shared" si="8"/>
        <v>2020</v>
      </c>
      <c r="D270" t="str">
        <f t="shared" si="9"/>
        <v>10</v>
      </c>
      <c r="E270" t="s">
        <v>37</v>
      </c>
      <c r="F270" t="s">
        <v>104</v>
      </c>
      <c r="G270" t="s">
        <v>103</v>
      </c>
      <c r="H270" t="s">
        <v>25</v>
      </c>
      <c r="I270" t="s">
        <v>94</v>
      </c>
      <c r="J270">
        <v>43</v>
      </c>
      <c r="K270">
        <v>67.11</v>
      </c>
      <c r="L270">
        <v>33.24</v>
      </c>
      <c r="M270">
        <v>0.49530000000000002</v>
      </c>
      <c r="N270">
        <v>-17.59</v>
      </c>
      <c r="O270">
        <v>-0.2621</v>
      </c>
      <c r="P270">
        <v>0.12</v>
      </c>
      <c r="Q270">
        <v>0.21299999999999999</v>
      </c>
      <c r="R270">
        <v>0</v>
      </c>
      <c r="S270">
        <v>39.950000000000003</v>
      </c>
      <c r="T270">
        <v>45.66</v>
      </c>
      <c r="U270">
        <v>8000</v>
      </c>
      <c r="V270">
        <v>728000</v>
      </c>
    </row>
    <row r="271" spans="1:22" x14ac:dyDescent="0.25">
      <c r="A271" t="s">
        <v>42</v>
      </c>
      <c r="B271" t="s">
        <v>43</v>
      </c>
      <c r="C271" t="str">
        <f t="shared" si="8"/>
        <v>2021</v>
      </c>
      <c r="D271" t="str">
        <f t="shared" si="9"/>
        <v>01</v>
      </c>
      <c r="E271" t="s">
        <v>37</v>
      </c>
      <c r="F271" t="s">
        <v>104</v>
      </c>
      <c r="G271" t="s">
        <v>103</v>
      </c>
      <c r="H271" t="s">
        <v>25</v>
      </c>
      <c r="I271" t="s">
        <v>94</v>
      </c>
      <c r="J271">
        <v>43</v>
      </c>
      <c r="K271">
        <v>72.3</v>
      </c>
      <c r="L271">
        <v>62.44</v>
      </c>
      <c r="M271">
        <v>0.86360000000000003</v>
      </c>
      <c r="N271">
        <v>-28.77</v>
      </c>
      <c r="O271">
        <v>-0.39789999999999998</v>
      </c>
      <c r="P271">
        <v>0.15</v>
      </c>
      <c r="Q271">
        <v>0.19699999999999998</v>
      </c>
      <c r="R271">
        <v>0</v>
      </c>
      <c r="S271">
        <v>75.489999999999995</v>
      </c>
      <c r="T271">
        <v>85.77</v>
      </c>
      <c r="U271">
        <v>8000</v>
      </c>
      <c r="V271">
        <v>728000</v>
      </c>
    </row>
    <row r="272" spans="1:22" x14ac:dyDescent="0.25">
      <c r="A272" t="s">
        <v>44</v>
      </c>
      <c r="B272" t="s">
        <v>45</v>
      </c>
      <c r="C272" t="str">
        <f t="shared" si="8"/>
        <v>2021</v>
      </c>
      <c r="D272" t="str">
        <f t="shared" si="9"/>
        <v>04</v>
      </c>
      <c r="E272" t="s">
        <v>37</v>
      </c>
      <c r="F272" t="s">
        <v>104</v>
      </c>
      <c r="G272" t="s">
        <v>103</v>
      </c>
      <c r="H272" t="s">
        <v>25</v>
      </c>
      <c r="I272" t="s">
        <v>94</v>
      </c>
      <c r="J272">
        <v>43</v>
      </c>
      <c r="K272">
        <v>46.15</v>
      </c>
      <c r="L272">
        <v>66.19</v>
      </c>
      <c r="M272">
        <v>1.4343999999999999</v>
      </c>
      <c r="N272">
        <v>-20.74</v>
      </c>
      <c r="O272">
        <v>-0.44939999999999997</v>
      </c>
      <c r="P272">
        <v>0.08</v>
      </c>
      <c r="Q272">
        <v>0.315</v>
      </c>
      <c r="R272">
        <v>0.21</v>
      </c>
      <c r="S272">
        <v>76.83</v>
      </c>
      <c r="T272">
        <v>90.92</v>
      </c>
      <c r="U272">
        <v>8000</v>
      </c>
      <c r="V272">
        <v>728000</v>
      </c>
    </row>
    <row r="273" spans="1:22" x14ac:dyDescent="0.25">
      <c r="A273" t="s">
        <v>46</v>
      </c>
      <c r="B273" t="s">
        <v>47</v>
      </c>
      <c r="C273" t="str">
        <f t="shared" si="8"/>
        <v>2021</v>
      </c>
      <c r="D273" t="str">
        <f t="shared" si="9"/>
        <v>07</v>
      </c>
      <c r="E273" t="s">
        <v>48</v>
      </c>
      <c r="F273" t="s">
        <v>104</v>
      </c>
      <c r="G273" t="s">
        <v>103</v>
      </c>
      <c r="H273" t="s">
        <v>25</v>
      </c>
      <c r="I273" t="s">
        <v>94</v>
      </c>
      <c r="J273">
        <v>43</v>
      </c>
      <c r="K273">
        <v>175.47</v>
      </c>
      <c r="L273">
        <v>65.459999999999994</v>
      </c>
      <c r="M273">
        <v>0.37310000000000004</v>
      </c>
      <c r="N273">
        <v>-3.15</v>
      </c>
      <c r="O273">
        <v>-1.8000000000000002E-2</v>
      </c>
      <c r="P273">
        <v>0.35</v>
      </c>
      <c r="Q273">
        <v>0.34200000000000003</v>
      </c>
      <c r="R273">
        <v>0</v>
      </c>
      <c r="S273">
        <v>78.97</v>
      </c>
      <c r="T273">
        <v>89.92</v>
      </c>
      <c r="U273">
        <v>8000</v>
      </c>
      <c r="V273">
        <v>728000</v>
      </c>
    </row>
    <row r="274" spans="1:22" x14ac:dyDescent="0.25">
      <c r="A274" t="s">
        <v>49</v>
      </c>
      <c r="B274" t="s">
        <v>50</v>
      </c>
      <c r="C274" t="str">
        <f t="shared" si="8"/>
        <v>2021</v>
      </c>
      <c r="D274" t="str">
        <f t="shared" si="9"/>
        <v>10</v>
      </c>
      <c r="E274" t="s">
        <v>48</v>
      </c>
      <c r="F274" t="s">
        <v>104</v>
      </c>
      <c r="G274" t="s">
        <v>103</v>
      </c>
      <c r="H274" t="s">
        <v>25</v>
      </c>
      <c r="I274" t="s">
        <v>94</v>
      </c>
      <c r="J274">
        <v>43</v>
      </c>
      <c r="K274">
        <v>158.37</v>
      </c>
      <c r="L274">
        <v>75.89</v>
      </c>
      <c r="M274">
        <v>0.47920000000000001</v>
      </c>
      <c r="N274">
        <v>-1.1200000000000001</v>
      </c>
      <c r="O274">
        <v>-7.0999999999999995E-3</v>
      </c>
      <c r="P274">
        <v>0.28000000000000003</v>
      </c>
      <c r="Q274">
        <v>0.27500000000000002</v>
      </c>
      <c r="R274">
        <v>3.3</v>
      </c>
      <c r="S274">
        <v>86.82</v>
      </c>
      <c r="T274">
        <v>104.25</v>
      </c>
      <c r="U274">
        <v>8000</v>
      </c>
      <c r="V274">
        <v>728000</v>
      </c>
    </row>
    <row r="275" spans="1:22" x14ac:dyDescent="0.25">
      <c r="A275" t="s">
        <v>51</v>
      </c>
      <c r="B275" t="s">
        <v>52</v>
      </c>
      <c r="C275" t="str">
        <f t="shared" si="8"/>
        <v>2022</v>
      </c>
      <c r="D275" t="str">
        <f t="shared" si="9"/>
        <v>01</v>
      </c>
      <c r="E275" t="s">
        <v>48</v>
      </c>
      <c r="F275" t="s">
        <v>104</v>
      </c>
      <c r="G275" t="s">
        <v>103</v>
      </c>
      <c r="H275" t="s">
        <v>25</v>
      </c>
      <c r="I275" t="s">
        <v>94</v>
      </c>
      <c r="J275">
        <v>43</v>
      </c>
      <c r="K275">
        <v>177.8</v>
      </c>
      <c r="L275">
        <v>59.29</v>
      </c>
      <c r="M275">
        <v>0.33350000000000002</v>
      </c>
      <c r="N275">
        <v>0.26</v>
      </c>
      <c r="O275">
        <v>1.5E-3</v>
      </c>
      <c r="P275">
        <v>0.35</v>
      </c>
      <c r="Q275">
        <v>0.39700000000000002</v>
      </c>
      <c r="R275">
        <v>0</v>
      </c>
      <c r="S275">
        <v>72.010000000000005</v>
      </c>
      <c r="T275">
        <v>81.44</v>
      </c>
      <c r="U275">
        <v>8000</v>
      </c>
      <c r="V275">
        <v>728000</v>
      </c>
    </row>
    <row r="276" spans="1:22" x14ac:dyDescent="0.25">
      <c r="A276" t="s">
        <v>53</v>
      </c>
      <c r="B276" t="s">
        <v>54</v>
      </c>
      <c r="C276" t="str">
        <f t="shared" si="8"/>
        <v>2022</v>
      </c>
      <c r="D276" t="str">
        <f t="shared" si="9"/>
        <v>04</v>
      </c>
      <c r="E276" t="s">
        <v>55</v>
      </c>
      <c r="F276" t="s">
        <v>104</v>
      </c>
      <c r="G276" t="s">
        <v>103</v>
      </c>
      <c r="H276" t="s">
        <v>25</v>
      </c>
      <c r="I276" t="s">
        <v>94</v>
      </c>
      <c r="J276">
        <v>43</v>
      </c>
      <c r="K276">
        <v>230.04</v>
      </c>
      <c r="L276">
        <v>95.83</v>
      </c>
      <c r="M276">
        <v>0.41659999999999997</v>
      </c>
      <c r="N276">
        <v>16.55</v>
      </c>
      <c r="O276">
        <v>7.1900000000000006E-2</v>
      </c>
      <c r="P276">
        <v>0.42</v>
      </c>
      <c r="Q276">
        <v>5.4000000000000006E-2</v>
      </c>
      <c r="R276">
        <v>2.39</v>
      </c>
      <c r="S276">
        <v>109.53</v>
      </c>
      <c r="T276">
        <v>131.63</v>
      </c>
      <c r="U276">
        <v>8000</v>
      </c>
      <c r="V276">
        <v>728000</v>
      </c>
    </row>
    <row r="277" spans="1:22" x14ac:dyDescent="0.25">
      <c r="A277" t="s">
        <v>56</v>
      </c>
      <c r="B277" t="s">
        <v>57</v>
      </c>
      <c r="C277" t="str">
        <f t="shared" si="8"/>
        <v>2022</v>
      </c>
      <c r="D277" t="str">
        <f t="shared" si="9"/>
        <v>07</v>
      </c>
      <c r="E277" t="s">
        <v>55</v>
      </c>
      <c r="F277" t="s">
        <v>104</v>
      </c>
      <c r="G277" t="s">
        <v>103</v>
      </c>
      <c r="H277" t="s">
        <v>25</v>
      </c>
      <c r="I277" t="s">
        <v>94</v>
      </c>
      <c r="J277">
        <v>43</v>
      </c>
      <c r="K277">
        <v>245.43</v>
      </c>
      <c r="L277">
        <v>68.790000000000006</v>
      </c>
      <c r="M277">
        <v>0.28029999999999999</v>
      </c>
      <c r="N277">
        <v>20.07</v>
      </c>
      <c r="O277">
        <v>8.1799999999999998E-2</v>
      </c>
      <c r="P277">
        <v>0.47</v>
      </c>
      <c r="Q277">
        <v>0.06</v>
      </c>
      <c r="R277">
        <v>0.21</v>
      </c>
      <c r="S277">
        <v>80.69</v>
      </c>
      <c r="T277">
        <v>94.49</v>
      </c>
      <c r="U277">
        <v>8000</v>
      </c>
      <c r="V277">
        <v>728000</v>
      </c>
    </row>
    <row r="278" spans="1:22" x14ac:dyDescent="0.25">
      <c r="A278" t="s">
        <v>58</v>
      </c>
      <c r="B278" t="s">
        <v>59</v>
      </c>
      <c r="C278" t="str">
        <f t="shared" si="8"/>
        <v>2022</v>
      </c>
      <c r="D278" t="str">
        <f t="shared" si="9"/>
        <v>10</v>
      </c>
      <c r="E278" t="s">
        <v>55</v>
      </c>
      <c r="F278" t="s">
        <v>104</v>
      </c>
      <c r="G278" t="s">
        <v>103</v>
      </c>
      <c r="H278" t="s">
        <v>25</v>
      </c>
      <c r="I278" t="s">
        <v>94</v>
      </c>
      <c r="J278">
        <v>43</v>
      </c>
      <c r="K278">
        <v>236.66</v>
      </c>
      <c r="L278">
        <v>76.849999999999994</v>
      </c>
      <c r="M278">
        <v>0.32469999999999999</v>
      </c>
      <c r="N278">
        <v>17.420000000000002</v>
      </c>
      <c r="O278">
        <v>7.3599999999999999E-2</v>
      </c>
      <c r="P278">
        <v>0.44</v>
      </c>
      <c r="Q278">
        <v>0.26800000000000002</v>
      </c>
      <c r="R278">
        <v>3.56</v>
      </c>
      <c r="S278">
        <v>93.25</v>
      </c>
      <c r="T278">
        <v>105.56</v>
      </c>
      <c r="U278">
        <v>8000</v>
      </c>
      <c r="V278">
        <v>728000</v>
      </c>
    </row>
    <row r="279" spans="1:22" x14ac:dyDescent="0.25">
      <c r="A279" t="s">
        <v>60</v>
      </c>
      <c r="B279" t="s">
        <v>61</v>
      </c>
      <c r="C279" t="str">
        <f t="shared" si="8"/>
        <v>2023</v>
      </c>
      <c r="D279" t="str">
        <f t="shared" si="9"/>
        <v>01</v>
      </c>
      <c r="E279" t="s">
        <v>62</v>
      </c>
      <c r="F279" t="s">
        <v>104</v>
      </c>
      <c r="G279" t="s">
        <v>103</v>
      </c>
      <c r="H279" t="s">
        <v>25</v>
      </c>
      <c r="I279" t="s">
        <v>94</v>
      </c>
      <c r="J279">
        <v>43</v>
      </c>
      <c r="K279">
        <v>240.61</v>
      </c>
      <c r="L279">
        <v>70.709999999999994</v>
      </c>
      <c r="M279">
        <v>0.29389999999999999</v>
      </c>
      <c r="N279">
        <v>9.7899999999999991</v>
      </c>
      <c r="O279">
        <v>4.07E-2</v>
      </c>
      <c r="P279">
        <v>0.42</v>
      </c>
      <c r="Q279">
        <v>0.36299999999999999</v>
      </c>
      <c r="R279">
        <v>2.0299999999999998</v>
      </c>
      <c r="S279">
        <v>84.29</v>
      </c>
      <c r="T279">
        <v>97.13</v>
      </c>
      <c r="U279">
        <v>8000</v>
      </c>
      <c r="V279">
        <v>728000</v>
      </c>
    </row>
    <row r="280" spans="1:22" x14ac:dyDescent="0.25">
      <c r="A280" t="s">
        <v>63</v>
      </c>
      <c r="B280" t="s">
        <v>64</v>
      </c>
      <c r="C280" t="str">
        <f t="shared" si="8"/>
        <v>2023</v>
      </c>
      <c r="D280" t="str">
        <f t="shared" si="9"/>
        <v>04</v>
      </c>
      <c r="E280" t="s">
        <v>62</v>
      </c>
      <c r="F280" t="s">
        <v>104</v>
      </c>
      <c r="G280" t="s">
        <v>103</v>
      </c>
      <c r="H280" t="s">
        <v>25</v>
      </c>
      <c r="I280" t="s">
        <v>94</v>
      </c>
      <c r="J280">
        <v>43</v>
      </c>
      <c r="K280">
        <v>213.99</v>
      </c>
      <c r="L280">
        <v>74.23</v>
      </c>
      <c r="M280">
        <v>0.34689999999999999</v>
      </c>
      <c r="N280">
        <v>27.9</v>
      </c>
      <c r="O280">
        <v>0.13039999999999999</v>
      </c>
      <c r="P280">
        <v>0.36</v>
      </c>
      <c r="Q280">
        <v>0.32299999999999995</v>
      </c>
      <c r="R280">
        <v>3.19</v>
      </c>
      <c r="S280">
        <v>88.18</v>
      </c>
      <c r="T280">
        <v>101.97</v>
      </c>
      <c r="U280">
        <v>8000</v>
      </c>
      <c r="V280">
        <v>728000</v>
      </c>
    </row>
    <row r="281" spans="1:22" x14ac:dyDescent="0.25">
      <c r="A281" t="s">
        <v>65</v>
      </c>
      <c r="B281" t="s">
        <v>66</v>
      </c>
      <c r="C281" t="str">
        <f t="shared" si="8"/>
        <v>2023</v>
      </c>
      <c r="D281" t="str">
        <f t="shared" si="9"/>
        <v>07</v>
      </c>
      <c r="E281" t="s">
        <v>62</v>
      </c>
      <c r="F281" t="s">
        <v>104</v>
      </c>
      <c r="G281" t="s">
        <v>103</v>
      </c>
      <c r="H281" t="s">
        <v>25</v>
      </c>
      <c r="I281" t="s">
        <v>94</v>
      </c>
      <c r="J281">
        <v>43</v>
      </c>
      <c r="K281">
        <v>239.81</v>
      </c>
      <c r="L281">
        <v>70.989999999999995</v>
      </c>
      <c r="M281">
        <v>0.29600000000000004</v>
      </c>
      <c r="N281">
        <v>24.28</v>
      </c>
      <c r="O281">
        <v>0.1013</v>
      </c>
      <c r="P281">
        <v>0.46</v>
      </c>
      <c r="Q281">
        <v>6.8000000000000005E-2</v>
      </c>
      <c r="R281">
        <v>0.4</v>
      </c>
      <c r="S281">
        <v>85.16</v>
      </c>
      <c r="T281">
        <v>97.52</v>
      </c>
      <c r="U281">
        <v>8000</v>
      </c>
      <c r="V281">
        <v>728000</v>
      </c>
    </row>
    <row r="282" spans="1:22" x14ac:dyDescent="0.25">
      <c r="A282" t="s">
        <v>67</v>
      </c>
      <c r="B282" t="s">
        <v>68</v>
      </c>
      <c r="C282" t="str">
        <f t="shared" si="8"/>
        <v>2023</v>
      </c>
      <c r="D282" t="str">
        <f t="shared" si="9"/>
        <v>10</v>
      </c>
      <c r="E282" t="s">
        <v>69</v>
      </c>
      <c r="F282" t="s">
        <v>104</v>
      </c>
      <c r="G282" t="s">
        <v>103</v>
      </c>
      <c r="H282" t="s">
        <v>25</v>
      </c>
      <c r="I282" t="s">
        <v>94</v>
      </c>
      <c r="J282">
        <v>43</v>
      </c>
      <c r="K282">
        <v>219.92</v>
      </c>
      <c r="L282">
        <v>65.489999999999995</v>
      </c>
      <c r="M282">
        <v>0.29780000000000001</v>
      </c>
      <c r="N282">
        <v>28.58</v>
      </c>
      <c r="O282">
        <v>0.12990000000000002</v>
      </c>
      <c r="P282">
        <v>0.43</v>
      </c>
      <c r="Q282">
        <v>7.0999999999999994E-2</v>
      </c>
      <c r="R282">
        <v>0</v>
      </c>
      <c r="S282">
        <v>78.33</v>
      </c>
      <c r="T282">
        <v>89.96</v>
      </c>
      <c r="U282">
        <v>8000</v>
      </c>
      <c r="V282">
        <v>728000</v>
      </c>
    </row>
    <row r="283" spans="1:22" x14ac:dyDescent="0.25">
      <c r="A283" t="s">
        <v>70</v>
      </c>
      <c r="B283" t="s">
        <v>71</v>
      </c>
      <c r="C283" t="str">
        <f t="shared" si="8"/>
        <v>2024</v>
      </c>
      <c r="D283" t="str">
        <f t="shared" si="9"/>
        <v>01</v>
      </c>
      <c r="E283" t="s">
        <v>69</v>
      </c>
      <c r="F283" t="s">
        <v>104</v>
      </c>
      <c r="G283" t="s">
        <v>103</v>
      </c>
      <c r="H283" t="s">
        <v>25</v>
      </c>
      <c r="I283" t="s">
        <v>94</v>
      </c>
      <c r="J283">
        <v>43</v>
      </c>
      <c r="K283">
        <v>237.53</v>
      </c>
      <c r="L283">
        <v>72.09</v>
      </c>
      <c r="M283">
        <v>0.30349999999999999</v>
      </c>
      <c r="N283">
        <v>19.559999999999999</v>
      </c>
      <c r="O283">
        <v>8.2299999999999998E-2</v>
      </c>
      <c r="P283">
        <v>0.45</v>
      </c>
      <c r="Q283">
        <v>8.8000000000000009E-2</v>
      </c>
      <c r="R283">
        <v>0.64</v>
      </c>
      <c r="S283">
        <v>84.61</v>
      </c>
      <c r="T283">
        <v>99.02</v>
      </c>
      <c r="U283">
        <v>8000</v>
      </c>
      <c r="V283">
        <v>728000</v>
      </c>
    </row>
    <row r="284" spans="1:22" x14ac:dyDescent="0.25">
      <c r="A284" t="s">
        <v>72</v>
      </c>
      <c r="B284" t="s">
        <v>73</v>
      </c>
      <c r="C284" t="str">
        <f t="shared" si="8"/>
        <v>2024</v>
      </c>
      <c r="D284" t="str">
        <f t="shared" si="9"/>
        <v>04</v>
      </c>
      <c r="E284" t="s">
        <v>69</v>
      </c>
      <c r="F284" t="s">
        <v>104</v>
      </c>
      <c r="G284" t="s">
        <v>103</v>
      </c>
      <c r="H284" t="s">
        <v>25</v>
      </c>
      <c r="I284" t="s">
        <v>94</v>
      </c>
      <c r="J284">
        <v>43</v>
      </c>
      <c r="K284">
        <v>225.41</v>
      </c>
      <c r="L284">
        <v>74.099999999999994</v>
      </c>
      <c r="M284">
        <v>0.32869999999999999</v>
      </c>
      <c r="N284">
        <v>18.82</v>
      </c>
      <c r="O284">
        <v>8.3499999999999991E-2</v>
      </c>
      <c r="P284">
        <v>0.43</v>
      </c>
      <c r="Q284">
        <v>0.28000000000000003</v>
      </c>
      <c r="R284">
        <v>2.72</v>
      </c>
      <c r="S284">
        <v>84.06</v>
      </c>
      <c r="T284">
        <v>101.78</v>
      </c>
      <c r="U284">
        <v>8000</v>
      </c>
      <c r="V284">
        <v>728000</v>
      </c>
    </row>
    <row r="285" spans="1:22" x14ac:dyDescent="0.25">
      <c r="A285" t="s">
        <v>74</v>
      </c>
      <c r="B285" t="s">
        <v>75</v>
      </c>
      <c r="C285" t="str">
        <f t="shared" si="8"/>
        <v>2024</v>
      </c>
      <c r="D285" t="str">
        <f t="shared" si="9"/>
        <v>07</v>
      </c>
      <c r="E285" t="s">
        <v>69</v>
      </c>
      <c r="F285" t="s">
        <v>104</v>
      </c>
      <c r="G285" t="s">
        <v>103</v>
      </c>
      <c r="H285" t="s">
        <v>25</v>
      </c>
      <c r="I285" t="s">
        <v>94</v>
      </c>
      <c r="J285">
        <v>43</v>
      </c>
      <c r="K285">
        <v>229.8</v>
      </c>
      <c r="L285">
        <v>68.42</v>
      </c>
      <c r="M285">
        <v>0.29770000000000002</v>
      </c>
      <c r="N285">
        <v>9.91</v>
      </c>
      <c r="O285">
        <v>4.3099999999999999E-2</v>
      </c>
      <c r="P285">
        <v>0.4</v>
      </c>
      <c r="Q285">
        <v>0.106</v>
      </c>
      <c r="R285">
        <v>0.32</v>
      </c>
      <c r="S285">
        <v>80.400000000000006</v>
      </c>
      <c r="T285">
        <v>93.98</v>
      </c>
      <c r="U285">
        <v>8000</v>
      </c>
      <c r="V285">
        <v>728000</v>
      </c>
    </row>
    <row r="286" spans="1:22" x14ac:dyDescent="0.25">
      <c r="A286" t="s">
        <v>76</v>
      </c>
      <c r="B286" t="s">
        <v>77</v>
      </c>
      <c r="C286" t="str">
        <f t="shared" si="8"/>
        <v>2024</v>
      </c>
      <c r="D286" t="str">
        <f t="shared" si="9"/>
        <v>10</v>
      </c>
      <c r="E286" t="s">
        <v>69</v>
      </c>
      <c r="F286" t="s">
        <v>104</v>
      </c>
      <c r="G286" t="s">
        <v>103</v>
      </c>
      <c r="H286" t="s">
        <v>25</v>
      </c>
      <c r="I286" t="s">
        <v>94</v>
      </c>
      <c r="J286">
        <v>43</v>
      </c>
      <c r="K286">
        <v>239.72</v>
      </c>
      <c r="L286">
        <v>81.91</v>
      </c>
      <c r="M286">
        <v>0.3417</v>
      </c>
      <c r="N286">
        <v>31.2</v>
      </c>
      <c r="O286">
        <v>0.13019999999999998</v>
      </c>
      <c r="P286">
        <v>0.47</v>
      </c>
      <c r="Q286">
        <v>0.111</v>
      </c>
      <c r="R286">
        <v>2.2799999999999998</v>
      </c>
      <c r="S286">
        <v>94.78</v>
      </c>
      <c r="T286">
        <v>112.52</v>
      </c>
      <c r="U286">
        <v>8000</v>
      </c>
      <c r="V286">
        <v>728000</v>
      </c>
    </row>
    <row r="287" spans="1:22" x14ac:dyDescent="0.25">
      <c r="A287" t="s">
        <v>78</v>
      </c>
      <c r="B287" t="s">
        <v>79</v>
      </c>
      <c r="C287" t="str">
        <f t="shared" si="8"/>
        <v>2025</v>
      </c>
      <c r="D287" t="str">
        <f t="shared" si="9"/>
        <v>01</v>
      </c>
      <c r="E287" t="s">
        <v>80</v>
      </c>
      <c r="F287" t="s">
        <v>104</v>
      </c>
      <c r="G287" t="s">
        <v>103</v>
      </c>
      <c r="H287" t="s">
        <v>25</v>
      </c>
      <c r="I287" t="s">
        <v>94</v>
      </c>
      <c r="J287">
        <v>43</v>
      </c>
      <c r="K287">
        <v>238.32</v>
      </c>
      <c r="L287">
        <v>73.92</v>
      </c>
      <c r="M287">
        <v>0.31019999999999998</v>
      </c>
      <c r="N287">
        <v>14</v>
      </c>
      <c r="O287">
        <v>5.8799999999999998E-2</v>
      </c>
      <c r="P287">
        <v>0.45</v>
      </c>
      <c r="Q287">
        <v>0.307</v>
      </c>
      <c r="R287">
        <v>2.91</v>
      </c>
      <c r="S287">
        <v>85.13</v>
      </c>
      <c r="T287">
        <v>101.54</v>
      </c>
      <c r="U287">
        <v>8000</v>
      </c>
      <c r="V287">
        <v>728000</v>
      </c>
    </row>
    <row r="288" spans="1:22" x14ac:dyDescent="0.25">
      <c r="A288" t="s">
        <v>81</v>
      </c>
      <c r="B288" t="s">
        <v>82</v>
      </c>
      <c r="C288" t="str">
        <f t="shared" si="8"/>
        <v>2025</v>
      </c>
      <c r="D288" t="str">
        <f t="shared" si="9"/>
        <v>04</v>
      </c>
      <c r="E288" t="s">
        <v>80</v>
      </c>
      <c r="F288" t="s">
        <v>104</v>
      </c>
      <c r="G288" t="s">
        <v>103</v>
      </c>
      <c r="H288" t="s">
        <v>25</v>
      </c>
      <c r="I288" t="s">
        <v>94</v>
      </c>
      <c r="J288">
        <v>43</v>
      </c>
      <c r="K288">
        <v>215.26</v>
      </c>
      <c r="L288">
        <v>87.67</v>
      </c>
      <c r="M288">
        <v>0.4073</v>
      </c>
      <c r="N288">
        <v>21.48</v>
      </c>
      <c r="O288">
        <v>9.98E-2</v>
      </c>
      <c r="P288">
        <v>0.38</v>
      </c>
      <c r="Q288">
        <v>0.22399999999999998</v>
      </c>
      <c r="R288">
        <v>6.64</v>
      </c>
      <c r="S288">
        <v>101.77</v>
      </c>
      <c r="T288">
        <v>120.43</v>
      </c>
      <c r="U288">
        <v>8000</v>
      </c>
      <c r="V288">
        <v>728000</v>
      </c>
    </row>
    <row r="289" spans="1:22" x14ac:dyDescent="0.25">
      <c r="A289" t="s">
        <v>83</v>
      </c>
      <c r="B289" t="s">
        <v>84</v>
      </c>
      <c r="C289" t="str">
        <f t="shared" si="8"/>
        <v>2025</v>
      </c>
      <c r="D289" t="str">
        <f t="shared" si="9"/>
        <v>07</v>
      </c>
      <c r="E289" t="s">
        <v>80</v>
      </c>
      <c r="F289" t="s">
        <v>104</v>
      </c>
      <c r="G289" t="s">
        <v>103</v>
      </c>
      <c r="H289" t="s">
        <v>25</v>
      </c>
      <c r="I289" t="s">
        <v>94</v>
      </c>
      <c r="J289">
        <v>43</v>
      </c>
      <c r="K289">
        <v>224.98</v>
      </c>
      <c r="L289">
        <v>81.7</v>
      </c>
      <c r="M289">
        <v>0.36310000000000003</v>
      </c>
      <c r="N289">
        <v>24.45</v>
      </c>
      <c r="O289">
        <v>0.10869999999999999</v>
      </c>
      <c r="P289">
        <v>0.42</v>
      </c>
      <c r="Q289">
        <v>0.156</v>
      </c>
      <c r="R289">
        <v>3.15</v>
      </c>
      <c r="S289">
        <v>93.24</v>
      </c>
      <c r="T289">
        <v>112.22</v>
      </c>
      <c r="U289">
        <v>8000</v>
      </c>
      <c r="V289">
        <v>728000</v>
      </c>
    </row>
    <row r="290" spans="1:22" x14ac:dyDescent="0.25">
      <c r="A290" t="s">
        <v>85</v>
      </c>
      <c r="B290" t="s">
        <v>86</v>
      </c>
      <c r="C290" t="str">
        <f t="shared" si="8"/>
        <v>2025</v>
      </c>
      <c r="D290" t="str">
        <f t="shared" si="9"/>
        <v>10</v>
      </c>
      <c r="E290" t="s">
        <v>80</v>
      </c>
      <c r="F290" t="s">
        <v>104</v>
      </c>
      <c r="G290" t="s">
        <v>103</v>
      </c>
      <c r="H290" t="s">
        <v>25</v>
      </c>
      <c r="I290" t="s">
        <v>94</v>
      </c>
      <c r="J290">
        <v>43</v>
      </c>
      <c r="K290">
        <v>240.38</v>
      </c>
      <c r="L290">
        <v>81.3</v>
      </c>
      <c r="M290">
        <v>0.3382</v>
      </c>
      <c r="N290">
        <v>32.67</v>
      </c>
      <c r="O290">
        <v>0.13589999999999999</v>
      </c>
      <c r="P290">
        <v>0.47</v>
      </c>
      <c r="Q290">
        <v>0.253</v>
      </c>
      <c r="R290">
        <v>4.95</v>
      </c>
      <c r="S290">
        <v>99.34</v>
      </c>
      <c r="T290">
        <v>111.67</v>
      </c>
      <c r="U290">
        <v>8000</v>
      </c>
      <c r="V290">
        <v>728000</v>
      </c>
    </row>
    <row r="291" spans="1:22" x14ac:dyDescent="0.25">
      <c r="A291" t="s">
        <v>87</v>
      </c>
      <c r="B291" t="s">
        <v>88</v>
      </c>
      <c r="C291" t="str">
        <f t="shared" si="8"/>
        <v>2026</v>
      </c>
      <c r="D291" t="str">
        <f t="shared" si="9"/>
        <v>01</v>
      </c>
      <c r="E291" t="s">
        <v>89</v>
      </c>
      <c r="F291" t="s">
        <v>104</v>
      </c>
      <c r="G291" t="s">
        <v>103</v>
      </c>
      <c r="H291" t="s">
        <v>25</v>
      </c>
      <c r="I291" t="s">
        <v>94</v>
      </c>
      <c r="J291">
        <v>43</v>
      </c>
      <c r="K291">
        <v>162.25</v>
      </c>
      <c r="L291">
        <v>106.87</v>
      </c>
      <c r="M291">
        <v>0.65870000000000006</v>
      </c>
      <c r="N291">
        <v>-21.04</v>
      </c>
      <c r="O291">
        <v>-0.12970000000000001</v>
      </c>
      <c r="P291">
        <v>0.28000000000000003</v>
      </c>
      <c r="Q291">
        <v>5.5999999999999994E-2</v>
      </c>
      <c r="R291">
        <v>3.78</v>
      </c>
      <c r="S291">
        <v>130.88</v>
      </c>
      <c r="T291">
        <v>146.80000000000001</v>
      </c>
      <c r="U291">
        <v>8000</v>
      </c>
      <c r="V291">
        <v>728000</v>
      </c>
    </row>
    <row r="292" spans="1:22" x14ac:dyDescent="0.25">
      <c r="A292" t="s">
        <v>20</v>
      </c>
      <c r="B292" t="s">
        <v>21</v>
      </c>
      <c r="C292" t="str">
        <f t="shared" si="8"/>
        <v>2019</v>
      </c>
      <c r="D292" t="str">
        <f t="shared" si="9"/>
        <v>01</v>
      </c>
      <c r="E292" t="s">
        <v>22</v>
      </c>
      <c r="F292" t="s">
        <v>105</v>
      </c>
      <c r="G292" t="s">
        <v>106</v>
      </c>
      <c r="H292" t="s">
        <v>107</v>
      </c>
      <c r="I292" t="s">
        <v>26</v>
      </c>
      <c r="J292">
        <v>147</v>
      </c>
      <c r="K292">
        <v>4281.91</v>
      </c>
      <c r="L292">
        <v>373.27</v>
      </c>
      <c r="M292">
        <v>8.72E-2</v>
      </c>
      <c r="N292">
        <v>493.48</v>
      </c>
      <c r="O292">
        <v>0.1152</v>
      </c>
      <c r="P292">
        <v>1.62</v>
      </c>
      <c r="Q292">
        <v>0.53600000000000003</v>
      </c>
      <c r="R292">
        <v>0</v>
      </c>
      <c r="S292">
        <v>63</v>
      </c>
      <c r="T292">
        <v>74.58</v>
      </c>
      <c r="U292">
        <v>55000</v>
      </c>
      <c r="V292">
        <v>5005000</v>
      </c>
    </row>
    <row r="293" spans="1:22" x14ac:dyDescent="0.25">
      <c r="A293" t="s">
        <v>27</v>
      </c>
      <c r="B293" t="s">
        <v>28</v>
      </c>
      <c r="C293" t="str">
        <f t="shared" si="8"/>
        <v>2019</v>
      </c>
      <c r="D293" t="str">
        <f t="shared" si="9"/>
        <v>04</v>
      </c>
      <c r="E293" t="s">
        <v>22</v>
      </c>
      <c r="F293" t="s">
        <v>105</v>
      </c>
      <c r="G293" t="s">
        <v>106</v>
      </c>
      <c r="H293" t="s">
        <v>107</v>
      </c>
      <c r="I293" t="s">
        <v>26</v>
      </c>
      <c r="J293">
        <v>147</v>
      </c>
      <c r="K293">
        <v>4235.8999999999996</v>
      </c>
      <c r="L293">
        <v>367.07</v>
      </c>
      <c r="M293">
        <v>8.6699999999999999E-2</v>
      </c>
      <c r="N293">
        <v>250.05</v>
      </c>
      <c r="O293">
        <v>5.9000000000000004E-2</v>
      </c>
      <c r="P293">
        <v>1.5</v>
      </c>
      <c r="Q293">
        <v>0.28300000000000003</v>
      </c>
      <c r="R293">
        <v>0</v>
      </c>
      <c r="S293">
        <v>64.790000000000006</v>
      </c>
      <c r="T293">
        <v>73.34</v>
      </c>
      <c r="U293">
        <v>55000</v>
      </c>
      <c r="V293">
        <v>5005000</v>
      </c>
    </row>
    <row r="294" spans="1:22" x14ac:dyDescent="0.25">
      <c r="A294" t="s">
        <v>29</v>
      </c>
      <c r="B294" t="s">
        <v>30</v>
      </c>
      <c r="C294" t="str">
        <f t="shared" si="8"/>
        <v>2019</v>
      </c>
      <c r="D294" t="str">
        <f t="shared" si="9"/>
        <v>07</v>
      </c>
      <c r="E294" t="s">
        <v>22</v>
      </c>
      <c r="F294" t="s">
        <v>105</v>
      </c>
      <c r="G294" t="s">
        <v>106</v>
      </c>
      <c r="H294" t="s">
        <v>107</v>
      </c>
      <c r="I294" t="s">
        <v>26</v>
      </c>
      <c r="J294">
        <v>147</v>
      </c>
      <c r="K294">
        <v>4018.71</v>
      </c>
      <c r="L294">
        <v>355.91</v>
      </c>
      <c r="M294">
        <v>8.8599999999999998E-2</v>
      </c>
      <c r="N294">
        <v>481.9</v>
      </c>
      <c r="O294">
        <v>0.11990000000000001</v>
      </c>
      <c r="P294">
        <v>1.3</v>
      </c>
      <c r="Q294">
        <v>0.41</v>
      </c>
      <c r="R294">
        <v>0</v>
      </c>
      <c r="S294">
        <v>60.46</v>
      </c>
      <c r="T294">
        <v>71.11</v>
      </c>
      <c r="U294">
        <v>55000</v>
      </c>
      <c r="V294">
        <v>5005000</v>
      </c>
    </row>
    <row r="295" spans="1:22" x14ac:dyDescent="0.25">
      <c r="A295" t="s">
        <v>31</v>
      </c>
      <c r="B295" t="s">
        <v>32</v>
      </c>
      <c r="C295" t="str">
        <f t="shared" si="8"/>
        <v>2019</v>
      </c>
      <c r="D295" t="str">
        <f t="shared" si="9"/>
        <v>10</v>
      </c>
      <c r="E295" t="s">
        <v>22</v>
      </c>
      <c r="F295" t="s">
        <v>105</v>
      </c>
      <c r="G295" t="s">
        <v>106</v>
      </c>
      <c r="H295" t="s">
        <v>107</v>
      </c>
      <c r="I295" t="s">
        <v>26</v>
      </c>
      <c r="J295">
        <v>147</v>
      </c>
      <c r="K295">
        <v>4220.53</v>
      </c>
      <c r="L295">
        <v>385.23</v>
      </c>
      <c r="M295">
        <v>9.1300000000000006E-2</v>
      </c>
      <c r="N295">
        <v>296.95999999999998</v>
      </c>
      <c r="O295">
        <v>7.0400000000000004E-2</v>
      </c>
      <c r="P295">
        <v>1.45</v>
      </c>
      <c r="Q295">
        <v>7.5999999999999998E-2</v>
      </c>
      <c r="R295">
        <v>0</v>
      </c>
      <c r="S295">
        <v>65.66</v>
      </c>
      <c r="T295">
        <v>76.97</v>
      </c>
      <c r="U295">
        <v>55000</v>
      </c>
      <c r="V295">
        <v>5005000</v>
      </c>
    </row>
    <row r="296" spans="1:22" x14ac:dyDescent="0.25">
      <c r="A296" t="s">
        <v>33</v>
      </c>
      <c r="B296" t="s">
        <v>34</v>
      </c>
      <c r="C296" t="str">
        <f t="shared" si="8"/>
        <v>2020</v>
      </c>
      <c r="D296" t="str">
        <f t="shared" si="9"/>
        <v>01</v>
      </c>
      <c r="E296" t="s">
        <v>22</v>
      </c>
      <c r="F296" t="s">
        <v>105</v>
      </c>
      <c r="G296" t="s">
        <v>106</v>
      </c>
      <c r="H296" t="s">
        <v>107</v>
      </c>
      <c r="I296" t="s">
        <v>26</v>
      </c>
      <c r="J296">
        <v>147</v>
      </c>
      <c r="K296">
        <v>3908.61</v>
      </c>
      <c r="L296">
        <v>377.28</v>
      </c>
      <c r="M296">
        <v>9.6500000000000002E-2</v>
      </c>
      <c r="N296">
        <v>161.43</v>
      </c>
      <c r="O296">
        <v>4.1299999999999996E-2</v>
      </c>
      <c r="P296">
        <v>1.27</v>
      </c>
      <c r="Q296">
        <v>0.56399999999999995</v>
      </c>
      <c r="R296">
        <v>0</v>
      </c>
      <c r="S296">
        <v>66.66</v>
      </c>
      <c r="T296">
        <v>75.38</v>
      </c>
      <c r="U296">
        <v>55000</v>
      </c>
      <c r="V296">
        <v>5005000</v>
      </c>
    </row>
    <row r="297" spans="1:22" x14ac:dyDescent="0.25">
      <c r="A297" t="s">
        <v>35</v>
      </c>
      <c r="B297" t="s">
        <v>36</v>
      </c>
      <c r="C297" t="str">
        <f t="shared" si="8"/>
        <v>2020</v>
      </c>
      <c r="D297" t="str">
        <f t="shared" si="9"/>
        <v>04</v>
      </c>
      <c r="E297" t="s">
        <v>37</v>
      </c>
      <c r="F297" t="s">
        <v>105</v>
      </c>
      <c r="G297" t="s">
        <v>106</v>
      </c>
      <c r="H297" t="s">
        <v>107</v>
      </c>
      <c r="I297" t="s">
        <v>26</v>
      </c>
      <c r="J297">
        <v>147</v>
      </c>
      <c r="K297">
        <v>1043.54</v>
      </c>
      <c r="L297">
        <v>118.57</v>
      </c>
      <c r="M297">
        <v>0.11359999999999999</v>
      </c>
      <c r="N297">
        <v>-439.04</v>
      </c>
      <c r="O297">
        <v>-0.42070000000000002</v>
      </c>
      <c r="P297">
        <v>0.39</v>
      </c>
      <c r="Q297">
        <v>0.37</v>
      </c>
      <c r="R297">
        <v>0</v>
      </c>
      <c r="S297">
        <v>20.57</v>
      </c>
      <c r="T297">
        <v>23.69</v>
      </c>
      <c r="U297">
        <v>55000</v>
      </c>
      <c r="V297">
        <v>5005000</v>
      </c>
    </row>
    <row r="298" spans="1:22" x14ac:dyDescent="0.25">
      <c r="A298" t="s">
        <v>38</v>
      </c>
      <c r="B298" t="s">
        <v>39</v>
      </c>
      <c r="C298" t="str">
        <f t="shared" si="8"/>
        <v>2020</v>
      </c>
      <c r="D298" t="str">
        <f t="shared" si="9"/>
        <v>07</v>
      </c>
      <c r="E298" t="s">
        <v>37</v>
      </c>
      <c r="F298" t="s">
        <v>105</v>
      </c>
      <c r="G298" t="s">
        <v>106</v>
      </c>
      <c r="H298" t="s">
        <v>107</v>
      </c>
      <c r="I298" t="s">
        <v>26</v>
      </c>
      <c r="J298">
        <v>147</v>
      </c>
      <c r="K298">
        <v>637.87</v>
      </c>
      <c r="L298">
        <v>252.4</v>
      </c>
      <c r="M298">
        <v>0.3957</v>
      </c>
      <c r="N298">
        <v>-165.41</v>
      </c>
      <c r="O298">
        <v>-0.25929999999999997</v>
      </c>
      <c r="P298">
        <v>0.22</v>
      </c>
      <c r="Q298">
        <v>0.34600000000000003</v>
      </c>
      <c r="R298">
        <v>0</v>
      </c>
      <c r="S298">
        <v>44.05</v>
      </c>
      <c r="T298">
        <v>50.43</v>
      </c>
      <c r="U298">
        <v>55000</v>
      </c>
      <c r="V298">
        <v>5005000</v>
      </c>
    </row>
    <row r="299" spans="1:22" x14ac:dyDescent="0.25">
      <c r="A299" t="s">
        <v>40</v>
      </c>
      <c r="B299" t="s">
        <v>41</v>
      </c>
      <c r="C299" t="str">
        <f t="shared" si="8"/>
        <v>2020</v>
      </c>
      <c r="D299" t="str">
        <f t="shared" si="9"/>
        <v>10</v>
      </c>
      <c r="E299" t="s">
        <v>37</v>
      </c>
      <c r="F299" t="s">
        <v>105</v>
      </c>
      <c r="G299" t="s">
        <v>106</v>
      </c>
      <c r="H299" t="s">
        <v>107</v>
      </c>
      <c r="I299" t="s">
        <v>26</v>
      </c>
      <c r="J299">
        <v>147</v>
      </c>
      <c r="K299">
        <v>1117.8499999999999</v>
      </c>
      <c r="L299">
        <v>228.53</v>
      </c>
      <c r="M299">
        <v>0.20440000000000003</v>
      </c>
      <c r="N299">
        <v>-476.64</v>
      </c>
      <c r="O299">
        <v>-0.4264</v>
      </c>
      <c r="P299">
        <v>0.42</v>
      </c>
      <c r="Q299">
        <v>0.16600000000000001</v>
      </c>
      <c r="R299">
        <v>0</v>
      </c>
      <c r="S299">
        <v>39.950000000000003</v>
      </c>
      <c r="T299">
        <v>45.66</v>
      </c>
      <c r="U299">
        <v>55000</v>
      </c>
      <c r="V299">
        <v>5005000</v>
      </c>
    </row>
    <row r="300" spans="1:22" x14ac:dyDescent="0.25">
      <c r="A300" t="s">
        <v>42</v>
      </c>
      <c r="B300" t="s">
        <v>43</v>
      </c>
      <c r="C300" t="str">
        <f t="shared" si="8"/>
        <v>2021</v>
      </c>
      <c r="D300" t="str">
        <f t="shared" si="9"/>
        <v>01</v>
      </c>
      <c r="E300" t="s">
        <v>37</v>
      </c>
      <c r="F300" t="s">
        <v>105</v>
      </c>
      <c r="G300" t="s">
        <v>106</v>
      </c>
      <c r="H300" t="s">
        <v>107</v>
      </c>
      <c r="I300" t="s">
        <v>26</v>
      </c>
      <c r="J300">
        <v>147</v>
      </c>
      <c r="K300">
        <v>1124.9000000000001</v>
      </c>
      <c r="L300">
        <v>429.28</v>
      </c>
      <c r="M300">
        <v>0.38159999999999994</v>
      </c>
      <c r="N300">
        <v>-265.60000000000002</v>
      </c>
      <c r="O300">
        <v>-0.2361</v>
      </c>
      <c r="P300">
        <v>0.38</v>
      </c>
      <c r="Q300">
        <v>0.40799999999999997</v>
      </c>
      <c r="R300">
        <v>0</v>
      </c>
      <c r="S300">
        <v>75.489999999999995</v>
      </c>
      <c r="T300">
        <v>85.77</v>
      </c>
      <c r="U300">
        <v>55000</v>
      </c>
      <c r="V300">
        <v>5005000</v>
      </c>
    </row>
    <row r="301" spans="1:22" x14ac:dyDescent="0.25">
      <c r="A301" t="s">
        <v>44</v>
      </c>
      <c r="B301" t="s">
        <v>45</v>
      </c>
      <c r="C301" t="str">
        <f t="shared" si="8"/>
        <v>2021</v>
      </c>
      <c r="D301" t="str">
        <f t="shared" si="9"/>
        <v>04</v>
      </c>
      <c r="E301" t="s">
        <v>37</v>
      </c>
      <c r="F301" t="s">
        <v>105</v>
      </c>
      <c r="G301" t="s">
        <v>106</v>
      </c>
      <c r="H301" t="s">
        <v>107</v>
      </c>
      <c r="I301" t="s">
        <v>26</v>
      </c>
      <c r="J301">
        <v>147</v>
      </c>
      <c r="K301">
        <v>1425.88</v>
      </c>
      <c r="L301">
        <v>455.05</v>
      </c>
      <c r="M301">
        <v>0.31909999999999999</v>
      </c>
      <c r="N301">
        <v>-338</v>
      </c>
      <c r="O301">
        <v>-0.23710000000000001</v>
      </c>
      <c r="P301">
        <v>0.52</v>
      </c>
      <c r="Q301">
        <v>0.28600000000000003</v>
      </c>
      <c r="R301">
        <v>1.33</v>
      </c>
      <c r="S301">
        <v>76.83</v>
      </c>
      <c r="T301">
        <v>90.92</v>
      </c>
      <c r="U301">
        <v>55000</v>
      </c>
      <c r="V301">
        <v>5005000</v>
      </c>
    </row>
    <row r="302" spans="1:22" x14ac:dyDescent="0.25">
      <c r="A302" t="s">
        <v>46</v>
      </c>
      <c r="B302" t="s">
        <v>47</v>
      </c>
      <c r="C302" t="str">
        <f t="shared" si="8"/>
        <v>2021</v>
      </c>
      <c r="D302" t="str">
        <f t="shared" si="9"/>
        <v>07</v>
      </c>
      <c r="E302" t="s">
        <v>48</v>
      </c>
      <c r="F302" t="s">
        <v>105</v>
      </c>
      <c r="G302" t="s">
        <v>106</v>
      </c>
      <c r="H302" t="s">
        <v>107</v>
      </c>
      <c r="I302" t="s">
        <v>26</v>
      </c>
      <c r="J302">
        <v>147</v>
      </c>
      <c r="K302">
        <v>3035.04</v>
      </c>
      <c r="L302">
        <v>450.05</v>
      </c>
      <c r="M302">
        <v>0.14829999999999999</v>
      </c>
      <c r="N302">
        <v>39.82</v>
      </c>
      <c r="O302">
        <v>1.3100000000000001E-2</v>
      </c>
      <c r="P302">
        <v>1.1000000000000001</v>
      </c>
      <c r="Q302">
        <v>9.4E-2</v>
      </c>
      <c r="R302">
        <v>0</v>
      </c>
      <c r="S302">
        <v>78.97</v>
      </c>
      <c r="T302">
        <v>89.92</v>
      </c>
      <c r="U302">
        <v>55000</v>
      </c>
      <c r="V302">
        <v>5005000</v>
      </c>
    </row>
    <row r="303" spans="1:22" x14ac:dyDescent="0.25">
      <c r="A303" t="s">
        <v>49</v>
      </c>
      <c r="B303" t="s">
        <v>50</v>
      </c>
      <c r="C303" t="str">
        <f t="shared" si="8"/>
        <v>2021</v>
      </c>
      <c r="D303" t="str">
        <f t="shared" si="9"/>
        <v>10</v>
      </c>
      <c r="E303" t="s">
        <v>48</v>
      </c>
      <c r="F303" t="s">
        <v>105</v>
      </c>
      <c r="G303" t="s">
        <v>106</v>
      </c>
      <c r="H303" t="s">
        <v>107</v>
      </c>
      <c r="I303" t="s">
        <v>26</v>
      </c>
      <c r="J303">
        <v>147</v>
      </c>
      <c r="K303">
        <v>3371.04</v>
      </c>
      <c r="L303">
        <v>521.77</v>
      </c>
      <c r="M303">
        <v>0.15479999999999999</v>
      </c>
      <c r="N303">
        <v>-160.63</v>
      </c>
      <c r="O303">
        <v>-4.7599999999999996E-2</v>
      </c>
      <c r="P303">
        <v>1.1000000000000001</v>
      </c>
      <c r="Q303">
        <v>0.313</v>
      </c>
      <c r="R303">
        <v>25.86</v>
      </c>
      <c r="S303">
        <v>86.82</v>
      </c>
      <c r="T303">
        <v>104.25</v>
      </c>
      <c r="U303">
        <v>55000</v>
      </c>
      <c r="V303">
        <v>5005000</v>
      </c>
    </row>
    <row r="304" spans="1:22" x14ac:dyDescent="0.25">
      <c r="A304" t="s">
        <v>51</v>
      </c>
      <c r="B304" t="s">
        <v>52</v>
      </c>
      <c r="C304" t="str">
        <f t="shared" si="8"/>
        <v>2022</v>
      </c>
      <c r="D304" t="str">
        <f t="shared" si="9"/>
        <v>01</v>
      </c>
      <c r="E304" t="s">
        <v>48</v>
      </c>
      <c r="F304" t="s">
        <v>105</v>
      </c>
      <c r="G304" t="s">
        <v>106</v>
      </c>
      <c r="H304" t="s">
        <v>107</v>
      </c>
      <c r="I304" t="s">
        <v>26</v>
      </c>
      <c r="J304">
        <v>147</v>
      </c>
      <c r="K304">
        <v>2871.74</v>
      </c>
      <c r="L304">
        <v>407.61</v>
      </c>
      <c r="M304">
        <v>0.1419</v>
      </c>
      <c r="N304">
        <v>-7.11</v>
      </c>
      <c r="O304">
        <v>-2.5000000000000001E-3</v>
      </c>
      <c r="P304">
        <v>0.97</v>
      </c>
      <c r="Q304">
        <v>0.17499999999999999</v>
      </c>
      <c r="R304">
        <v>0</v>
      </c>
      <c r="S304">
        <v>72.010000000000005</v>
      </c>
      <c r="T304">
        <v>81.44</v>
      </c>
      <c r="U304">
        <v>55000</v>
      </c>
      <c r="V304">
        <v>5005000</v>
      </c>
    </row>
    <row r="305" spans="1:22" x14ac:dyDescent="0.25">
      <c r="A305" t="s">
        <v>53</v>
      </c>
      <c r="B305" t="s">
        <v>54</v>
      </c>
      <c r="C305" t="str">
        <f t="shared" si="8"/>
        <v>2022</v>
      </c>
      <c r="D305" t="str">
        <f t="shared" si="9"/>
        <v>04</v>
      </c>
      <c r="E305" t="s">
        <v>55</v>
      </c>
      <c r="F305" t="s">
        <v>105</v>
      </c>
      <c r="G305" t="s">
        <v>106</v>
      </c>
      <c r="H305" t="s">
        <v>107</v>
      </c>
      <c r="I305" t="s">
        <v>26</v>
      </c>
      <c r="J305">
        <v>147</v>
      </c>
      <c r="K305">
        <v>4001.83</v>
      </c>
      <c r="L305">
        <v>658.81</v>
      </c>
      <c r="M305">
        <v>0.1646</v>
      </c>
      <c r="N305">
        <v>241.8</v>
      </c>
      <c r="O305">
        <v>6.0400000000000002E-2</v>
      </c>
      <c r="P305">
        <v>1.39</v>
      </c>
      <c r="Q305">
        <v>0.52800000000000002</v>
      </c>
      <c r="R305">
        <v>160.9</v>
      </c>
      <c r="S305">
        <v>109.53</v>
      </c>
      <c r="T305">
        <v>131.63</v>
      </c>
      <c r="U305">
        <v>55000</v>
      </c>
      <c r="V305">
        <v>5005000</v>
      </c>
    </row>
    <row r="306" spans="1:22" x14ac:dyDescent="0.25">
      <c r="A306" t="s">
        <v>56</v>
      </c>
      <c r="B306" t="s">
        <v>57</v>
      </c>
      <c r="C306" t="str">
        <f t="shared" si="8"/>
        <v>2022</v>
      </c>
      <c r="D306" t="str">
        <f t="shared" si="9"/>
        <v>07</v>
      </c>
      <c r="E306" t="s">
        <v>55</v>
      </c>
      <c r="F306" t="s">
        <v>105</v>
      </c>
      <c r="G306" t="s">
        <v>106</v>
      </c>
      <c r="H306" t="s">
        <v>107</v>
      </c>
      <c r="I306" t="s">
        <v>26</v>
      </c>
      <c r="J306">
        <v>147</v>
      </c>
      <c r="K306">
        <v>3942.68</v>
      </c>
      <c r="L306">
        <v>472.92</v>
      </c>
      <c r="M306">
        <v>0.11990000000000001</v>
      </c>
      <c r="N306">
        <v>167.77</v>
      </c>
      <c r="O306">
        <v>4.2599999999999999E-2</v>
      </c>
      <c r="P306">
        <v>1.37</v>
      </c>
      <c r="Q306">
        <v>3.1E-2</v>
      </c>
      <c r="R306">
        <v>0.73</v>
      </c>
      <c r="S306">
        <v>80.69</v>
      </c>
      <c r="T306">
        <v>94.49</v>
      </c>
      <c r="U306">
        <v>55000</v>
      </c>
      <c r="V306">
        <v>5005000</v>
      </c>
    </row>
    <row r="307" spans="1:22" x14ac:dyDescent="0.25">
      <c r="A307" t="s">
        <v>58</v>
      </c>
      <c r="B307" t="s">
        <v>59</v>
      </c>
      <c r="C307" t="str">
        <f t="shared" si="8"/>
        <v>2022</v>
      </c>
      <c r="D307" t="str">
        <f t="shared" si="9"/>
        <v>10</v>
      </c>
      <c r="E307" t="s">
        <v>55</v>
      </c>
      <c r="F307" t="s">
        <v>105</v>
      </c>
      <c r="G307" t="s">
        <v>106</v>
      </c>
      <c r="H307" t="s">
        <v>107</v>
      </c>
      <c r="I307" t="s">
        <v>26</v>
      </c>
      <c r="J307">
        <v>147</v>
      </c>
      <c r="K307">
        <v>3781.68</v>
      </c>
      <c r="L307">
        <v>528.33000000000004</v>
      </c>
      <c r="M307">
        <v>0.13970000000000002</v>
      </c>
      <c r="N307">
        <v>318.60000000000002</v>
      </c>
      <c r="O307">
        <v>8.4199999999999997E-2</v>
      </c>
      <c r="P307">
        <v>1.31</v>
      </c>
      <c r="Q307">
        <v>4.2999999999999997E-2</v>
      </c>
      <c r="R307">
        <v>3.93</v>
      </c>
      <c r="S307">
        <v>93.25</v>
      </c>
      <c r="T307">
        <v>105.56</v>
      </c>
      <c r="U307">
        <v>55000</v>
      </c>
      <c r="V307">
        <v>5005000</v>
      </c>
    </row>
    <row r="308" spans="1:22" x14ac:dyDescent="0.25">
      <c r="A308" t="s">
        <v>60</v>
      </c>
      <c r="B308" t="s">
        <v>61</v>
      </c>
      <c r="C308" t="str">
        <f t="shared" si="8"/>
        <v>2023</v>
      </c>
      <c r="D308" t="str">
        <f t="shared" si="9"/>
        <v>01</v>
      </c>
      <c r="E308" t="s">
        <v>62</v>
      </c>
      <c r="F308" t="s">
        <v>105</v>
      </c>
      <c r="G308" t="s">
        <v>106</v>
      </c>
      <c r="H308" t="s">
        <v>107</v>
      </c>
      <c r="I308" t="s">
        <v>26</v>
      </c>
      <c r="J308">
        <v>147</v>
      </c>
      <c r="K308">
        <v>4129.72</v>
      </c>
      <c r="L308">
        <v>486.14</v>
      </c>
      <c r="M308">
        <v>0.1177</v>
      </c>
      <c r="N308">
        <v>329.66</v>
      </c>
      <c r="O308">
        <v>7.980000000000001E-2</v>
      </c>
      <c r="P308">
        <v>1.36</v>
      </c>
      <c r="Q308">
        <v>0.24199999999999999</v>
      </c>
      <c r="R308">
        <v>9.32</v>
      </c>
      <c r="S308">
        <v>84.29</v>
      </c>
      <c r="T308">
        <v>97.13</v>
      </c>
      <c r="U308">
        <v>55000</v>
      </c>
      <c r="V308">
        <v>5005000</v>
      </c>
    </row>
    <row r="309" spans="1:22" x14ac:dyDescent="0.25">
      <c r="A309" t="s">
        <v>63</v>
      </c>
      <c r="B309" t="s">
        <v>64</v>
      </c>
      <c r="C309" t="str">
        <f t="shared" si="8"/>
        <v>2023</v>
      </c>
      <c r="D309" t="str">
        <f t="shared" si="9"/>
        <v>04</v>
      </c>
      <c r="E309" t="s">
        <v>62</v>
      </c>
      <c r="F309" t="s">
        <v>105</v>
      </c>
      <c r="G309" t="s">
        <v>106</v>
      </c>
      <c r="H309" t="s">
        <v>107</v>
      </c>
      <c r="I309" t="s">
        <v>26</v>
      </c>
      <c r="J309">
        <v>147</v>
      </c>
      <c r="K309">
        <v>3995.39</v>
      </c>
      <c r="L309">
        <v>510.36</v>
      </c>
      <c r="M309">
        <v>0.12770000000000001</v>
      </c>
      <c r="N309">
        <v>339.23</v>
      </c>
      <c r="O309">
        <v>8.4900000000000003E-2</v>
      </c>
      <c r="P309">
        <v>1.36</v>
      </c>
      <c r="Q309">
        <v>0.39500000000000002</v>
      </c>
      <c r="R309">
        <v>26.81</v>
      </c>
      <c r="S309">
        <v>88.18</v>
      </c>
      <c r="T309">
        <v>101.97</v>
      </c>
      <c r="U309">
        <v>55000</v>
      </c>
      <c r="V309">
        <v>5005000</v>
      </c>
    </row>
    <row r="310" spans="1:22" x14ac:dyDescent="0.25">
      <c r="A310" t="s">
        <v>65</v>
      </c>
      <c r="B310" t="s">
        <v>66</v>
      </c>
      <c r="C310" t="str">
        <f t="shared" si="8"/>
        <v>2023</v>
      </c>
      <c r="D310" t="str">
        <f t="shared" si="9"/>
        <v>07</v>
      </c>
      <c r="E310" t="s">
        <v>62</v>
      </c>
      <c r="F310" t="s">
        <v>105</v>
      </c>
      <c r="G310" t="s">
        <v>106</v>
      </c>
      <c r="H310" t="s">
        <v>107</v>
      </c>
      <c r="I310" t="s">
        <v>26</v>
      </c>
      <c r="J310">
        <v>147</v>
      </c>
      <c r="K310">
        <v>4397.1400000000003</v>
      </c>
      <c r="L310">
        <v>488.09</v>
      </c>
      <c r="M310">
        <v>0.111</v>
      </c>
      <c r="N310">
        <v>257.44</v>
      </c>
      <c r="O310">
        <v>5.8499999999999996E-2</v>
      </c>
      <c r="P310">
        <v>1.5</v>
      </c>
      <c r="Q310">
        <v>0.36499999999999999</v>
      </c>
      <c r="R310">
        <v>14.89</v>
      </c>
      <c r="S310">
        <v>85.16</v>
      </c>
      <c r="T310">
        <v>97.52</v>
      </c>
      <c r="U310">
        <v>55000</v>
      </c>
      <c r="V310">
        <v>5005000</v>
      </c>
    </row>
    <row r="311" spans="1:22" x14ac:dyDescent="0.25">
      <c r="A311" t="s">
        <v>67</v>
      </c>
      <c r="B311" t="s">
        <v>68</v>
      </c>
      <c r="C311" t="str">
        <f t="shared" si="8"/>
        <v>2023</v>
      </c>
      <c r="D311" t="str">
        <f t="shared" si="9"/>
        <v>10</v>
      </c>
      <c r="E311" t="s">
        <v>69</v>
      </c>
      <c r="F311" t="s">
        <v>105</v>
      </c>
      <c r="G311" t="s">
        <v>106</v>
      </c>
      <c r="H311" t="s">
        <v>107</v>
      </c>
      <c r="I311" t="s">
        <v>26</v>
      </c>
      <c r="J311">
        <v>147</v>
      </c>
      <c r="K311">
        <v>4186.55</v>
      </c>
      <c r="L311">
        <v>450.25</v>
      </c>
      <c r="M311">
        <v>0.1075</v>
      </c>
      <c r="N311">
        <v>444.34</v>
      </c>
      <c r="O311">
        <v>0.1061</v>
      </c>
      <c r="P311">
        <v>1.39</v>
      </c>
      <c r="Q311">
        <v>0.41200000000000003</v>
      </c>
      <c r="R311">
        <v>0</v>
      </c>
      <c r="S311">
        <v>78.33</v>
      </c>
      <c r="T311">
        <v>89.96</v>
      </c>
      <c r="U311">
        <v>55000</v>
      </c>
      <c r="V311">
        <v>5005000</v>
      </c>
    </row>
    <row r="312" spans="1:22" x14ac:dyDescent="0.25">
      <c r="A312" t="s">
        <v>70</v>
      </c>
      <c r="B312" t="s">
        <v>71</v>
      </c>
      <c r="C312" t="str">
        <f t="shared" si="8"/>
        <v>2024</v>
      </c>
      <c r="D312" t="str">
        <f t="shared" si="9"/>
        <v>01</v>
      </c>
      <c r="E312" t="s">
        <v>69</v>
      </c>
      <c r="F312" t="s">
        <v>105</v>
      </c>
      <c r="G312" t="s">
        <v>106</v>
      </c>
      <c r="H312" t="s">
        <v>107</v>
      </c>
      <c r="I312" t="s">
        <v>26</v>
      </c>
      <c r="J312">
        <v>147</v>
      </c>
      <c r="K312">
        <v>4002.22</v>
      </c>
      <c r="L312">
        <v>495.6</v>
      </c>
      <c r="M312">
        <v>0.12380000000000001</v>
      </c>
      <c r="N312">
        <v>210.3</v>
      </c>
      <c r="O312">
        <v>5.2499999999999998E-2</v>
      </c>
      <c r="P312">
        <v>1.48</v>
      </c>
      <c r="Q312">
        <v>0.308</v>
      </c>
      <c r="R312">
        <v>15.3</v>
      </c>
      <c r="S312">
        <v>84.61</v>
      </c>
      <c r="T312">
        <v>99.02</v>
      </c>
      <c r="U312">
        <v>55000</v>
      </c>
      <c r="V312">
        <v>5005000</v>
      </c>
    </row>
    <row r="313" spans="1:22" x14ac:dyDescent="0.25">
      <c r="A313" t="s">
        <v>72</v>
      </c>
      <c r="B313" t="s">
        <v>73</v>
      </c>
      <c r="C313" t="str">
        <f t="shared" si="8"/>
        <v>2024</v>
      </c>
      <c r="D313" t="str">
        <f t="shared" si="9"/>
        <v>04</v>
      </c>
      <c r="E313" t="s">
        <v>69</v>
      </c>
      <c r="F313" t="s">
        <v>105</v>
      </c>
      <c r="G313" t="s">
        <v>106</v>
      </c>
      <c r="H313" t="s">
        <v>107</v>
      </c>
      <c r="I313" t="s">
        <v>26</v>
      </c>
      <c r="J313">
        <v>147</v>
      </c>
      <c r="K313">
        <v>4106.75</v>
      </c>
      <c r="L313">
        <v>509.41</v>
      </c>
      <c r="M313">
        <v>0.124</v>
      </c>
      <c r="N313">
        <v>545.59</v>
      </c>
      <c r="O313">
        <v>0.13289999999999999</v>
      </c>
      <c r="P313">
        <v>1.49</v>
      </c>
      <c r="Q313">
        <v>0.44</v>
      </c>
      <c r="R313">
        <v>29.34</v>
      </c>
      <c r="S313">
        <v>84.06</v>
      </c>
      <c r="T313">
        <v>101.78</v>
      </c>
      <c r="U313">
        <v>55000</v>
      </c>
      <c r="V313">
        <v>5005000</v>
      </c>
    </row>
    <row r="314" spans="1:22" x14ac:dyDescent="0.25">
      <c r="A314" t="s">
        <v>74</v>
      </c>
      <c r="B314" t="s">
        <v>75</v>
      </c>
      <c r="C314" t="str">
        <f t="shared" si="8"/>
        <v>2024</v>
      </c>
      <c r="D314" t="str">
        <f t="shared" si="9"/>
        <v>07</v>
      </c>
      <c r="E314" t="s">
        <v>69</v>
      </c>
      <c r="F314" t="s">
        <v>105</v>
      </c>
      <c r="G314" t="s">
        <v>106</v>
      </c>
      <c r="H314" t="s">
        <v>107</v>
      </c>
      <c r="I314" t="s">
        <v>26</v>
      </c>
      <c r="J314">
        <v>147</v>
      </c>
      <c r="K314">
        <v>3998.54</v>
      </c>
      <c r="L314">
        <v>470.37</v>
      </c>
      <c r="M314">
        <v>0.1176</v>
      </c>
      <c r="N314">
        <v>243.61</v>
      </c>
      <c r="O314">
        <v>6.0899999999999996E-2</v>
      </c>
      <c r="P314">
        <v>1.39</v>
      </c>
      <c r="Q314">
        <v>0.42399999999999999</v>
      </c>
      <c r="R314">
        <v>8.82</v>
      </c>
      <c r="S314">
        <v>80.400000000000006</v>
      </c>
      <c r="T314">
        <v>93.98</v>
      </c>
      <c r="U314">
        <v>55000</v>
      </c>
      <c r="V314">
        <v>5005000</v>
      </c>
    </row>
    <row r="315" spans="1:22" x14ac:dyDescent="0.25">
      <c r="A315" t="s">
        <v>76</v>
      </c>
      <c r="B315" t="s">
        <v>77</v>
      </c>
      <c r="C315" t="str">
        <f t="shared" si="8"/>
        <v>2024</v>
      </c>
      <c r="D315" t="str">
        <f t="shared" si="9"/>
        <v>10</v>
      </c>
      <c r="E315" t="s">
        <v>69</v>
      </c>
      <c r="F315" t="s">
        <v>105</v>
      </c>
      <c r="G315" t="s">
        <v>106</v>
      </c>
      <c r="H315" t="s">
        <v>107</v>
      </c>
      <c r="I315" t="s">
        <v>26</v>
      </c>
      <c r="J315">
        <v>147</v>
      </c>
      <c r="K315">
        <v>4105.68</v>
      </c>
      <c r="L315">
        <v>563.16</v>
      </c>
      <c r="M315">
        <v>0.13720000000000002</v>
      </c>
      <c r="N315">
        <v>190.58</v>
      </c>
      <c r="O315">
        <v>4.6399999999999997E-2</v>
      </c>
      <c r="P315">
        <v>1.48</v>
      </c>
      <c r="Q315">
        <v>0.503</v>
      </c>
      <c r="R315">
        <v>70.88</v>
      </c>
      <c r="S315">
        <v>94.78</v>
      </c>
      <c r="T315">
        <v>112.52</v>
      </c>
      <c r="U315">
        <v>55000</v>
      </c>
      <c r="V315">
        <v>5005000</v>
      </c>
    </row>
    <row r="316" spans="1:22" x14ac:dyDescent="0.25">
      <c r="A316" t="s">
        <v>78</v>
      </c>
      <c r="B316" t="s">
        <v>79</v>
      </c>
      <c r="C316" t="str">
        <f t="shared" si="8"/>
        <v>2025</v>
      </c>
      <c r="D316" t="str">
        <f t="shared" si="9"/>
        <v>01</v>
      </c>
      <c r="E316" t="s">
        <v>80</v>
      </c>
      <c r="F316" t="s">
        <v>105</v>
      </c>
      <c r="G316" t="s">
        <v>106</v>
      </c>
      <c r="H316" t="s">
        <v>107</v>
      </c>
      <c r="I316" t="s">
        <v>26</v>
      </c>
      <c r="J316">
        <v>147</v>
      </c>
      <c r="K316">
        <v>4398.3100000000004</v>
      </c>
      <c r="L316">
        <v>508.21</v>
      </c>
      <c r="M316">
        <v>0.11550000000000001</v>
      </c>
      <c r="N316">
        <v>355.72</v>
      </c>
      <c r="O316">
        <v>8.09E-2</v>
      </c>
      <c r="P316">
        <v>1.46</v>
      </c>
      <c r="Q316">
        <v>0.60199999999999998</v>
      </c>
      <c r="R316">
        <v>39.229999999999997</v>
      </c>
      <c r="S316">
        <v>85.13</v>
      </c>
      <c r="T316">
        <v>101.54</v>
      </c>
      <c r="U316">
        <v>55000</v>
      </c>
      <c r="V316">
        <v>5005000</v>
      </c>
    </row>
    <row r="317" spans="1:22" x14ac:dyDescent="0.25">
      <c r="A317" t="s">
        <v>81</v>
      </c>
      <c r="B317" t="s">
        <v>82</v>
      </c>
      <c r="C317" t="str">
        <f t="shared" si="8"/>
        <v>2025</v>
      </c>
      <c r="D317" t="str">
        <f t="shared" si="9"/>
        <v>04</v>
      </c>
      <c r="E317" t="s">
        <v>80</v>
      </c>
      <c r="F317" t="s">
        <v>105</v>
      </c>
      <c r="G317" t="s">
        <v>106</v>
      </c>
      <c r="H317" t="s">
        <v>107</v>
      </c>
      <c r="I317" t="s">
        <v>26</v>
      </c>
      <c r="J317">
        <v>147</v>
      </c>
      <c r="K317">
        <v>4276.17</v>
      </c>
      <c r="L317">
        <v>602.75</v>
      </c>
      <c r="M317">
        <v>0.14099999999999999</v>
      </c>
      <c r="N317">
        <v>198.41</v>
      </c>
      <c r="O317">
        <v>4.6399999999999997E-2</v>
      </c>
      <c r="P317">
        <v>1.51</v>
      </c>
      <c r="Q317">
        <v>1.9E-2</v>
      </c>
      <c r="R317">
        <v>3.87</v>
      </c>
      <c r="S317">
        <v>101.77</v>
      </c>
      <c r="T317">
        <v>120.43</v>
      </c>
      <c r="U317">
        <v>55000</v>
      </c>
      <c r="V317">
        <v>5005000</v>
      </c>
    </row>
    <row r="318" spans="1:22" x14ac:dyDescent="0.25">
      <c r="A318" t="s">
        <v>83</v>
      </c>
      <c r="B318" t="s">
        <v>84</v>
      </c>
      <c r="C318" t="str">
        <f t="shared" si="8"/>
        <v>2025</v>
      </c>
      <c r="D318" t="str">
        <f t="shared" si="9"/>
        <v>07</v>
      </c>
      <c r="E318" t="s">
        <v>80</v>
      </c>
      <c r="F318" t="s">
        <v>105</v>
      </c>
      <c r="G318" t="s">
        <v>106</v>
      </c>
      <c r="H318" t="s">
        <v>107</v>
      </c>
      <c r="I318" t="s">
        <v>26</v>
      </c>
      <c r="J318">
        <v>147</v>
      </c>
      <c r="K318">
        <v>4015.74</v>
      </c>
      <c r="L318">
        <v>561.66</v>
      </c>
      <c r="M318">
        <v>0.1399</v>
      </c>
      <c r="N318">
        <v>189.12</v>
      </c>
      <c r="O318">
        <v>4.7100000000000003E-2</v>
      </c>
      <c r="P318">
        <v>1.31</v>
      </c>
      <c r="Q318">
        <v>0.318</v>
      </c>
      <c r="R318">
        <v>44.1</v>
      </c>
      <c r="S318">
        <v>93.24</v>
      </c>
      <c r="T318">
        <v>112.22</v>
      </c>
      <c r="U318">
        <v>55000</v>
      </c>
      <c r="V318">
        <v>5005000</v>
      </c>
    </row>
    <row r="319" spans="1:22" x14ac:dyDescent="0.25">
      <c r="A319" t="s">
        <v>85</v>
      </c>
      <c r="B319" t="s">
        <v>86</v>
      </c>
      <c r="C319" t="str">
        <f t="shared" si="8"/>
        <v>2025</v>
      </c>
      <c r="D319" t="str">
        <f t="shared" si="9"/>
        <v>10</v>
      </c>
      <c r="E319" t="s">
        <v>80</v>
      </c>
      <c r="F319" t="s">
        <v>105</v>
      </c>
      <c r="G319" t="s">
        <v>106</v>
      </c>
      <c r="H319" t="s">
        <v>107</v>
      </c>
      <c r="I319" t="s">
        <v>26</v>
      </c>
      <c r="J319">
        <v>147</v>
      </c>
      <c r="K319">
        <v>4054.3</v>
      </c>
      <c r="L319">
        <v>558.91</v>
      </c>
      <c r="M319">
        <v>0.13789999999999999</v>
      </c>
      <c r="N319">
        <v>197.85</v>
      </c>
      <c r="O319">
        <v>4.8799999999999996E-2</v>
      </c>
      <c r="P319">
        <v>1.41</v>
      </c>
      <c r="Q319">
        <v>0.46100000000000002</v>
      </c>
      <c r="R319">
        <v>62.04</v>
      </c>
      <c r="S319">
        <v>99.34</v>
      </c>
      <c r="T319">
        <v>111.67</v>
      </c>
      <c r="U319">
        <v>55000</v>
      </c>
      <c r="V319">
        <v>5005000</v>
      </c>
    </row>
    <row r="320" spans="1:22" x14ac:dyDescent="0.25">
      <c r="A320" t="s">
        <v>87</v>
      </c>
      <c r="B320" t="s">
        <v>88</v>
      </c>
      <c r="C320" t="str">
        <f t="shared" si="8"/>
        <v>2026</v>
      </c>
      <c r="D320" t="str">
        <f t="shared" si="9"/>
        <v>01</v>
      </c>
      <c r="E320" t="s">
        <v>89</v>
      </c>
      <c r="F320" t="s">
        <v>105</v>
      </c>
      <c r="G320" t="s">
        <v>106</v>
      </c>
      <c r="H320" t="s">
        <v>107</v>
      </c>
      <c r="I320" t="s">
        <v>26</v>
      </c>
      <c r="J320">
        <v>147</v>
      </c>
      <c r="K320">
        <v>2913.56</v>
      </c>
      <c r="L320">
        <v>734.73</v>
      </c>
      <c r="M320">
        <v>0.25219999999999998</v>
      </c>
      <c r="N320">
        <v>-214.2</v>
      </c>
      <c r="O320">
        <v>-7.3499999999999996E-2</v>
      </c>
      <c r="P320">
        <v>1.04</v>
      </c>
      <c r="Q320">
        <v>0.33799999999999997</v>
      </c>
      <c r="R320">
        <v>156.72999999999999</v>
      </c>
      <c r="S320">
        <v>130.88</v>
      </c>
      <c r="T320">
        <v>146.80000000000001</v>
      </c>
      <c r="U320">
        <v>55000</v>
      </c>
      <c r="V320">
        <v>5005000</v>
      </c>
    </row>
    <row r="321" spans="1:22" x14ac:dyDescent="0.25">
      <c r="A321" t="s">
        <v>20</v>
      </c>
      <c r="B321" t="s">
        <v>21</v>
      </c>
      <c r="C321" t="str">
        <f t="shared" si="8"/>
        <v>2019</v>
      </c>
      <c r="D321" t="str">
        <f t="shared" si="9"/>
        <v>01</v>
      </c>
      <c r="E321" t="s">
        <v>22</v>
      </c>
      <c r="F321" t="s">
        <v>108</v>
      </c>
      <c r="G321" t="s">
        <v>109</v>
      </c>
      <c r="H321" t="s">
        <v>107</v>
      </c>
      <c r="I321" t="s">
        <v>26</v>
      </c>
      <c r="J321">
        <v>230</v>
      </c>
      <c r="K321">
        <v>2804.26</v>
      </c>
      <c r="L321">
        <v>325.77</v>
      </c>
      <c r="M321">
        <v>0.1162</v>
      </c>
      <c r="N321">
        <v>222.46</v>
      </c>
      <c r="O321">
        <v>7.9299999999999995E-2</v>
      </c>
      <c r="P321">
        <v>2.16</v>
      </c>
      <c r="Q321">
        <v>7.4999999999999997E-2</v>
      </c>
      <c r="R321">
        <v>0</v>
      </c>
      <c r="S321">
        <v>63</v>
      </c>
      <c r="T321">
        <v>74.58</v>
      </c>
      <c r="U321">
        <v>48000</v>
      </c>
      <c r="V321">
        <v>4368000</v>
      </c>
    </row>
    <row r="322" spans="1:22" x14ac:dyDescent="0.25">
      <c r="A322" t="s">
        <v>27</v>
      </c>
      <c r="B322" t="s">
        <v>28</v>
      </c>
      <c r="C322" t="str">
        <f t="shared" si="8"/>
        <v>2019</v>
      </c>
      <c r="D322" t="str">
        <f t="shared" si="9"/>
        <v>04</v>
      </c>
      <c r="E322" t="s">
        <v>22</v>
      </c>
      <c r="F322" t="s">
        <v>108</v>
      </c>
      <c r="G322" t="s">
        <v>109</v>
      </c>
      <c r="H322" t="s">
        <v>107</v>
      </c>
      <c r="I322" t="s">
        <v>26</v>
      </c>
      <c r="J322">
        <v>230</v>
      </c>
      <c r="K322">
        <v>2688.84</v>
      </c>
      <c r="L322">
        <v>320.35000000000002</v>
      </c>
      <c r="M322">
        <v>0.1191</v>
      </c>
      <c r="N322">
        <v>190.59</v>
      </c>
      <c r="O322">
        <v>7.0900000000000005E-2</v>
      </c>
      <c r="P322">
        <v>2.21</v>
      </c>
      <c r="Q322">
        <v>0.187</v>
      </c>
      <c r="R322">
        <v>0</v>
      </c>
      <c r="S322">
        <v>64.790000000000006</v>
      </c>
      <c r="T322">
        <v>73.34</v>
      </c>
      <c r="U322">
        <v>48000</v>
      </c>
      <c r="V322">
        <v>4368000</v>
      </c>
    </row>
    <row r="323" spans="1:22" x14ac:dyDescent="0.25">
      <c r="A323" t="s">
        <v>29</v>
      </c>
      <c r="B323" t="s">
        <v>30</v>
      </c>
      <c r="C323" t="str">
        <f t="shared" ref="C323:C386" si="10">LEFT(B323,4)</f>
        <v>2019</v>
      </c>
      <c r="D323" t="str">
        <f t="shared" ref="D323:D386" si="11">RIGHT(B323,2)</f>
        <v>07</v>
      </c>
      <c r="E323" t="s">
        <v>22</v>
      </c>
      <c r="F323" t="s">
        <v>108</v>
      </c>
      <c r="G323" t="s">
        <v>109</v>
      </c>
      <c r="H323" t="s">
        <v>107</v>
      </c>
      <c r="I323" t="s">
        <v>26</v>
      </c>
      <c r="J323">
        <v>230</v>
      </c>
      <c r="K323">
        <v>2955.66</v>
      </c>
      <c r="L323">
        <v>310.61</v>
      </c>
      <c r="M323">
        <v>0.1051</v>
      </c>
      <c r="N323">
        <v>230.63</v>
      </c>
      <c r="O323">
        <v>7.8E-2</v>
      </c>
      <c r="P323">
        <v>2.42</v>
      </c>
      <c r="Q323">
        <v>0.28100000000000003</v>
      </c>
      <c r="R323">
        <v>0</v>
      </c>
      <c r="S323">
        <v>60.46</v>
      </c>
      <c r="T323">
        <v>71.11</v>
      </c>
      <c r="U323">
        <v>48000</v>
      </c>
      <c r="V323">
        <v>4368000</v>
      </c>
    </row>
    <row r="324" spans="1:22" x14ac:dyDescent="0.25">
      <c r="A324" t="s">
        <v>31</v>
      </c>
      <c r="B324" t="s">
        <v>32</v>
      </c>
      <c r="C324" t="str">
        <f t="shared" si="10"/>
        <v>2019</v>
      </c>
      <c r="D324" t="str">
        <f t="shared" si="11"/>
        <v>10</v>
      </c>
      <c r="E324" t="s">
        <v>22</v>
      </c>
      <c r="F324" t="s">
        <v>108</v>
      </c>
      <c r="G324" t="s">
        <v>109</v>
      </c>
      <c r="H324" t="s">
        <v>107</v>
      </c>
      <c r="I324" t="s">
        <v>26</v>
      </c>
      <c r="J324">
        <v>230</v>
      </c>
      <c r="K324">
        <v>2841.21</v>
      </c>
      <c r="L324">
        <v>336.2</v>
      </c>
      <c r="M324">
        <v>0.1183</v>
      </c>
      <c r="N324">
        <v>184.72</v>
      </c>
      <c r="O324">
        <v>6.5000000000000002E-2</v>
      </c>
      <c r="P324">
        <v>2.27</v>
      </c>
      <c r="Q324">
        <v>7.2000000000000008E-2</v>
      </c>
      <c r="R324">
        <v>0</v>
      </c>
      <c r="S324">
        <v>65.66</v>
      </c>
      <c r="T324">
        <v>76.97</v>
      </c>
      <c r="U324">
        <v>48000</v>
      </c>
      <c r="V324">
        <v>4368000</v>
      </c>
    </row>
    <row r="325" spans="1:22" x14ac:dyDescent="0.25">
      <c r="A325" t="s">
        <v>33</v>
      </c>
      <c r="B325" t="s">
        <v>34</v>
      </c>
      <c r="C325" t="str">
        <f t="shared" si="10"/>
        <v>2020</v>
      </c>
      <c r="D325" t="str">
        <f t="shared" si="11"/>
        <v>01</v>
      </c>
      <c r="E325" t="s">
        <v>22</v>
      </c>
      <c r="F325" t="s">
        <v>108</v>
      </c>
      <c r="G325" t="s">
        <v>109</v>
      </c>
      <c r="H325" t="s">
        <v>107</v>
      </c>
      <c r="I325" t="s">
        <v>26</v>
      </c>
      <c r="J325">
        <v>230</v>
      </c>
      <c r="K325">
        <v>2800.78</v>
      </c>
      <c r="L325">
        <v>329.26</v>
      </c>
      <c r="M325">
        <v>0.1176</v>
      </c>
      <c r="N325">
        <v>237.59</v>
      </c>
      <c r="O325">
        <v>8.48E-2</v>
      </c>
      <c r="P325">
        <v>2.3199999999999998</v>
      </c>
      <c r="Q325">
        <v>0.26</v>
      </c>
      <c r="R325">
        <v>0</v>
      </c>
      <c r="S325">
        <v>66.66</v>
      </c>
      <c r="T325">
        <v>75.38</v>
      </c>
      <c r="U325">
        <v>48000</v>
      </c>
      <c r="V325">
        <v>4368000</v>
      </c>
    </row>
    <row r="326" spans="1:22" x14ac:dyDescent="0.25">
      <c r="A326" t="s">
        <v>35</v>
      </c>
      <c r="B326" t="s">
        <v>36</v>
      </c>
      <c r="C326" t="str">
        <f t="shared" si="10"/>
        <v>2020</v>
      </c>
      <c r="D326" t="str">
        <f t="shared" si="11"/>
        <v>04</v>
      </c>
      <c r="E326" t="s">
        <v>37</v>
      </c>
      <c r="F326" t="s">
        <v>108</v>
      </c>
      <c r="G326" t="s">
        <v>109</v>
      </c>
      <c r="H326" t="s">
        <v>107</v>
      </c>
      <c r="I326" t="s">
        <v>26</v>
      </c>
      <c r="J326">
        <v>230</v>
      </c>
      <c r="K326">
        <v>792.64</v>
      </c>
      <c r="L326">
        <v>103.48</v>
      </c>
      <c r="M326">
        <v>0.1305</v>
      </c>
      <c r="N326">
        <v>-322.08999999999997</v>
      </c>
      <c r="O326">
        <v>-0.40630000000000005</v>
      </c>
      <c r="P326">
        <v>0.56999999999999995</v>
      </c>
      <c r="Q326">
        <v>0.32899999999999996</v>
      </c>
      <c r="R326">
        <v>0</v>
      </c>
      <c r="S326">
        <v>20.57</v>
      </c>
      <c r="T326">
        <v>23.69</v>
      </c>
      <c r="U326">
        <v>48000</v>
      </c>
      <c r="V326">
        <v>4368000</v>
      </c>
    </row>
    <row r="327" spans="1:22" x14ac:dyDescent="0.25">
      <c r="A327" t="s">
        <v>38</v>
      </c>
      <c r="B327" t="s">
        <v>39</v>
      </c>
      <c r="C327" t="str">
        <f t="shared" si="10"/>
        <v>2020</v>
      </c>
      <c r="D327" t="str">
        <f t="shared" si="11"/>
        <v>07</v>
      </c>
      <c r="E327" t="s">
        <v>37</v>
      </c>
      <c r="F327" t="s">
        <v>108</v>
      </c>
      <c r="G327" t="s">
        <v>109</v>
      </c>
      <c r="H327" t="s">
        <v>107</v>
      </c>
      <c r="I327" t="s">
        <v>26</v>
      </c>
      <c r="J327">
        <v>230</v>
      </c>
      <c r="K327">
        <v>685.37</v>
      </c>
      <c r="L327">
        <v>220.28</v>
      </c>
      <c r="M327">
        <v>0.32140000000000002</v>
      </c>
      <c r="N327">
        <v>-193.66</v>
      </c>
      <c r="O327">
        <v>-0.28260000000000002</v>
      </c>
      <c r="P327">
        <v>0.53</v>
      </c>
      <c r="Q327">
        <v>1.9E-2</v>
      </c>
      <c r="R327">
        <v>0</v>
      </c>
      <c r="S327">
        <v>44.05</v>
      </c>
      <c r="T327">
        <v>50.43</v>
      </c>
      <c r="U327">
        <v>48000</v>
      </c>
      <c r="V327">
        <v>4368000</v>
      </c>
    </row>
    <row r="328" spans="1:22" x14ac:dyDescent="0.25">
      <c r="A328" t="s">
        <v>40</v>
      </c>
      <c r="B328" t="s">
        <v>41</v>
      </c>
      <c r="C328" t="str">
        <f t="shared" si="10"/>
        <v>2020</v>
      </c>
      <c r="D328" t="str">
        <f t="shared" si="11"/>
        <v>10</v>
      </c>
      <c r="E328" t="s">
        <v>37</v>
      </c>
      <c r="F328" t="s">
        <v>108</v>
      </c>
      <c r="G328" t="s">
        <v>109</v>
      </c>
      <c r="H328" t="s">
        <v>107</v>
      </c>
      <c r="I328" t="s">
        <v>26</v>
      </c>
      <c r="J328">
        <v>230</v>
      </c>
      <c r="K328">
        <v>825.2</v>
      </c>
      <c r="L328">
        <v>199.44</v>
      </c>
      <c r="M328">
        <v>0.24170000000000003</v>
      </c>
      <c r="N328">
        <v>-176.96</v>
      </c>
      <c r="O328">
        <v>-0.21440000000000001</v>
      </c>
      <c r="P328">
        <v>0.64</v>
      </c>
      <c r="Q328">
        <v>0.39700000000000002</v>
      </c>
      <c r="R328">
        <v>0</v>
      </c>
      <c r="S328">
        <v>39.950000000000003</v>
      </c>
      <c r="T328">
        <v>45.66</v>
      </c>
      <c r="U328">
        <v>48000</v>
      </c>
      <c r="V328">
        <v>4368000</v>
      </c>
    </row>
    <row r="329" spans="1:22" x14ac:dyDescent="0.25">
      <c r="A329" t="s">
        <v>42</v>
      </c>
      <c r="B329" t="s">
        <v>43</v>
      </c>
      <c r="C329" t="str">
        <f t="shared" si="10"/>
        <v>2021</v>
      </c>
      <c r="D329" t="str">
        <f t="shared" si="11"/>
        <v>01</v>
      </c>
      <c r="E329" t="s">
        <v>37</v>
      </c>
      <c r="F329" t="s">
        <v>108</v>
      </c>
      <c r="G329" t="s">
        <v>109</v>
      </c>
      <c r="H329" t="s">
        <v>107</v>
      </c>
      <c r="I329" t="s">
        <v>26</v>
      </c>
      <c r="J329">
        <v>230</v>
      </c>
      <c r="K329">
        <v>725.02</v>
      </c>
      <c r="L329">
        <v>374.64</v>
      </c>
      <c r="M329">
        <v>0.51670000000000005</v>
      </c>
      <c r="N329">
        <v>-223.67</v>
      </c>
      <c r="O329">
        <v>-0.3085</v>
      </c>
      <c r="P329">
        <v>0.62</v>
      </c>
      <c r="Q329">
        <v>0.47899999999999998</v>
      </c>
      <c r="R329">
        <v>0</v>
      </c>
      <c r="S329">
        <v>75.489999999999995</v>
      </c>
      <c r="T329">
        <v>85.77</v>
      </c>
      <c r="U329">
        <v>48000</v>
      </c>
      <c r="V329">
        <v>4368000</v>
      </c>
    </row>
    <row r="330" spans="1:22" x14ac:dyDescent="0.25">
      <c r="A330" t="s">
        <v>44</v>
      </c>
      <c r="B330" t="s">
        <v>45</v>
      </c>
      <c r="C330" t="str">
        <f t="shared" si="10"/>
        <v>2021</v>
      </c>
      <c r="D330" t="str">
        <f t="shared" si="11"/>
        <v>04</v>
      </c>
      <c r="E330" t="s">
        <v>37</v>
      </c>
      <c r="F330" t="s">
        <v>108</v>
      </c>
      <c r="G330" t="s">
        <v>109</v>
      </c>
      <c r="H330" t="s">
        <v>107</v>
      </c>
      <c r="I330" t="s">
        <v>26</v>
      </c>
      <c r="J330">
        <v>230</v>
      </c>
      <c r="K330">
        <v>851.08</v>
      </c>
      <c r="L330">
        <v>397.14</v>
      </c>
      <c r="M330">
        <v>0.46659999999999996</v>
      </c>
      <c r="N330">
        <v>-363.83</v>
      </c>
      <c r="O330">
        <v>-0.42749999999999999</v>
      </c>
      <c r="P330">
        <v>0.63</v>
      </c>
      <c r="Q330">
        <v>0.43099999999999999</v>
      </c>
      <c r="R330">
        <v>1.75</v>
      </c>
      <c r="S330">
        <v>76.83</v>
      </c>
      <c r="T330">
        <v>90.92</v>
      </c>
      <c r="U330">
        <v>48000</v>
      </c>
      <c r="V330">
        <v>4368000</v>
      </c>
    </row>
    <row r="331" spans="1:22" x14ac:dyDescent="0.25">
      <c r="A331" t="s">
        <v>46</v>
      </c>
      <c r="B331" t="s">
        <v>47</v>
      </c>
      <c r="C331" t="str">
        <f t="shared" si="10"/>
        <v>2021</v>
      </c>
      <c r="D331" t="str">
        <f t="shared" si="11"/>
        <v>07</v>
      </c>
      <c r="E331" t="s">
        <v>48</v>
      </c>
      <c r="F331" t="s">
        <v>108</v>
      </c>
      <c r="G331" t="s">
        <v>109</v>
      </c>
      <c r="H331" t="s">
        <v>107</v>
      </c>
      <c r="I331" t="s">
        <v>26</v>
      </c>
      <c r="J331">
        <v>230</v>
      </c>
      <c r="K331">
        <v>2122.66</v>
      </c>
      <c r="L331">
        <v>392.77</v>
      </c>
      <c r="M331">
        <v>0.185</v>
      </c>
      <c r="N331">
        <v>107.53</v>
      </c>
      <c r="O331">
        <v>5.0700000000000002E-2</v>
      </c>
      <c r="P331">
        <v>1.55</v>
      </c>
      <c r="Q331">
        <v>0.36799999999999999</v>
      </c>
      <c r="R331">
        <v>0</v>
      </c>
      <c r="S331">
        <v>78.97</v>
      </c>
      <c r="T331">
        <v>89.92</v>
      </c>
      <c r="U331">
        <v>48000</v>
      </c>
      <c r="V331">
        <v>4368000</v>
      </c>
    </row>
    <row r="332" spans="1:22" x14ac:dyDescent="0.25">
      <c r="A332" t="s">
        <v>49</v>
      </c>
      <c r="B332" t="s">
        <v>50</v>
      </c>
      <c r="C332" t="str">
        <f t="shared" si="10"/>
        <v>2021</v>
      </c>
      <c r="D332" t="str">
        <f t="shared" si="11"/>
        <v>10</v>
      </c>
      <c r="E332" t="s">
        <v>48</v>
      </c>
      <c r="F332" t="s">
        <v>108</v>
      </c>
      <c r="G332" t="s">
        <v>109</v>
      </c>
      <c r="H332" t="s">
        <v>107</v>
      </c>
      <c r="I332" t="s">
        <v>26</v>
      </c>
      <c r="J332">
        <v>230</v>
      </c>
      <c r="K332">
        <v>2092.1999999999998</v>
      </c>
      <c r="L332">
        <v>455.36</v>
      </c>
      <c r="M332">
        <v>0.21760000000000002</v>
      </c>
      <c r="N332">
        <v>127.85</v>
      </c>
      <c r="O332">
        <v>6.1100000000000002E-2</v>
      </c>
      <c r="P332">
        <v>1.56</v>
      </c>
      <c r="Q332">
        <v>0.22699999999999998</v>
      </c>
      <c r="R332">
        <v>16.37</v>
      </c>
      <c r="S332">
        <v>86.82</v>
      </c>
      <c r="T332">
        <v>104.25</v>
      </c>
      <c r="U332">
        <v>48000</v>
      </c>
      <c r="V332">
        <v>4368000</v>
      </c>
    </row>
    <row r="333" spans="1:22" x14ac:dyDescent="0.25">
      <c r="A333" t="s">
        <v>51</v>
      </c>
      <c r="B333" t="s">
        <v>52</v>
      </c>
      <c r="C333" t="str">
        <f t="shared" si="10"/>
        <v>2022</v>
      </c>
      <c r="D333" t="str">
        <f t="shared" si="11"/>
        <v>01</v>
      </c>
      <c r="E333" t="s">
        <v>48</v>
      </c>
      <c r="F333" t="s">
        <v>108</v>
      </c>
      <c r="G333" t="s">
        <v>109</v>
      </c>
      <c r="H333" t="s">
        <v>107</v>
      </c>
      <c r="I333" t="s">
        <v>26</v>
      </c>
      <c r="J333">
        <v>230</v>
      </c>
      <c r="K333">
        <v>1904.26</v>
      </c>
      <c r="L333">
        <v>355.73</v>
      </c>
      <c r="M333">
        <v>0.18679999999999999</v>
      </c>
      <c r="N333">
        <v>16.62</v>
      </c>
      <c r="O333">
        <v>8.6999999999999994E-3</v>
      </c>
      <c r="P333">
        <v>1.63</v>
      </c>
      <c r="Q333">
        <v>0.436</v>
      </c>
      <c r="R333">
        <v>0</v>
      </c>
      <c r="S333">
        <v>72.010000000000005</v>
      </c>
      <c r="T333">
        <v>81.44</v>
      </c>
      <c r="U333">
        <v>48000</v>
      </c>
      <c r="V333">
        <v>4368000</v>
      </c>
    </row>
    <row r="334" spans="1:22" x14ac:dyDescent="0.25">
      <c r="A334" t="s">
        <v>53</v>
      </c>
      <c r="B334" t="s">
        <v>54</v>
      </c>
      <c r="C334" t="str">
        <f t="shared" si="10"/>
        <v>2022</v>
      </c>
      <c r="D334" t="str">
        <f t="shared" si="11"/>
        <v>04</v>
      </c>
      <c r="E334" t="s">
        <v>55</v>
      </c>
      <c r="F334" t="s">
        <v>108</v>
      </c>
      <c r="G334" t="s">
        <v>109</v>
      </c>
      <c r="H334" t="s">
        <v>107</v>
      </c>
      <c r="I334" t="s">
        <v>26</v>
      </c>
      <c r="J334">
        <v>230</v>
      </c>
      <c r="K334">
        <v>2936.81</v>
      </c>
      <c r="L334">
        <v>574.96</v>
      </c>
      <c r="M334">
        <v>0.19579999999999997</v>
      </c>
      <c r="N334">
        <v>80.67</v>
      </c>
      <c r="O334">
        <v>2.75E-2</v>
      </c>
      <c r="P334">
        <v>2.3199999999999998</v>
      </c>
      <c r="Q334">
        <v>0.54500000000000004</v>
      </c>
      <c r="R334">
        <v>144.94</v>
      </c>
      <c r="S334">
        <v>109.53</v>
      </c>
      <c r="T334">
        <v>131.63</v>
      </c>
      <c r="U334">
        <v>48000</v>
      </c>
      <c r="V334">
        <v>4368000</v>
      </c>
    </row>
    <row r="335" spans="1:22" x14ac:dyDescent="0.25">
      <c r="A335" t="s">
        <v>56</v>
      </c>
      <c r="B335" t="s">
        <v>57</v>
      </c>
      <c r="C335" t="str">
        <f t="shared" si="10"/>
        <v>2022</v>
      </c>
      <c r="D335" t="str">
        <f t="shared" si="11"/>
        <v>07</v>
      </c>
      <c r="E335" t="s">
        <v>55</v>
      </c>
      <c r="F335" t="s">
        <v>108</v>
      </c>
      <c r="G335" t="s">
        <v>109</v>
      </c>
      <c r="H335" t="s">
        <v>107</v>
      </c>
      <c r="I335" t="s">
        <v>26</v>
      </c>
      <c r="J335">
        <v>230</v>
      </c>
      <c r="K335">
        <v>2988.99</v>
      </c>
      <c r="L335">
        <v>412.73</v>
      </c>
      <c r="M335">
        <v>0.1381</v>
      </c>
      <c r="N335">
        <v>296.02999999999997</v>
      </c>
      <c r="O335">
        <v>9.9000000000000005E-2</v>
      </c>
      <c r="P335">
        <v>2.39</v>
      </c>
      <c r="Q335">
        <v>1E-3</v>
      </c>
      <c r="R335">
        <v>0.02</v>
      </c>
      <c r="S335">
        <v>80.69</v>
      </c>
      <c r="T335">
        <v>94.49</v>
      </c>
      <c r="U335">
        <v>48000</v>
      </c>
      <c r="V335">
        <v>4368000</v>
      </c>
    </row>
    <row r="336" spans="1:22" x14ac:dyDescent="0.25">
      <c r="A336" t="s">
        <v>58</v>
      </c>
      <c r="B336" t="s">
        <v>59</v>
      </c>
      <c r="C336" t="str">
        <f t="shared" si="10"/>
        <v>2022</v>
      </c>
      <c r="D336" t="str">
        <f t="shared" si="11"/>
        <v>10</v>
      </c>
      <c r="E336" t="s">
        <v>55</v>
      </c>
      <c r="F336" t="s">
        <v>108</v>
      </c>
      <c r="G336" t="s">
        <v>109</v>
      </c>
      <c r="H336" t="s">
        <v>107</v>
      </c>
      <c r="I336" t="s">
        <v>26</v>
      </c>
      <c r="J336">
        <v>230</v>
      </c>
      <c r="K336">
        <v>3023.47</v>
      </c>
      <c r="L336">
        <v>461.09</v>
      </c>
      <c r="M336">
        <v>0.1525</v>
      </c>
      <c r="N336">
        <v>291.75</v>
      </c>
      <c r="O336">
        <v>9.6500000000000002E-2</v>
      </c>
      <c r="P336">
        <v>2.62</v>
      </c>
      <c r="Q336">
        <v>0.502</v>
      </c>
      <c r="R336">
        <v>40.020000000000003</v>
      </c>
      <c r="S336">
        <v>93.25</v>
      </c>
      <c r="T336">
        <v>105.56</v>
      </c>
      <c r="U336">
        <v>48000</v>
      </c>
      <c r="V336">
        <v>4368000</v>
      </c>
    </row>
    <row r="337" spans="1:22" x14ac:dyDescent="0.25">
      <c r="A337" t="s">
        <v>60</v>
      </c>
      <c r="B337" t="s">
        <v>61</v>
      </c>
      <c r="C337" t="str">
        <f t="shared" si="10"/>
        <v>2023</v>
      </c>
      <c r="D337" t="str">
        <f t="shared" si="11"/>
        <v>01</v>
      </c>
      <c r="E337" t="s">
        <v>62</v>
      </c>
      <c r="F337" t="s">
        <v>108</v>
      </c>
      <c r="G337" t="s">
        <v>109</v>
      </c>
      <c r="H337" t="s">
        <v>107</v>
      </c>
      <c r="I337" t="s">
        <v>26</v>
      </c>
      <c r="J337">
        <v>230</v>
      </c>
      <c r="K337">
        <v>2737.14</v>
      </c>
      <c r="L337">
        <v>424.26</v>
      </c>
      <c r="M337">
        <v>0.155</v>
      </c>
      <c r="N337">
        <v>147.55000000000001</v>
      </c>
      <c r="O337">
        <v>5.3899999999999997E-2</v>
      </c>
      <c r="P337">
        <v>2.27</v>
      </c>
      <c r="Q337">
        <v>9.0999999999999998E-2</v>
      </c>
      <c r="R337">
        <v>3.06</v>
      </c>
      <c r="S337">
        <v>84.29</v>
      </c>
      <c r="T337">
        <v>97.13</v>
      </c>
      <c r="U337">
        <v>48000</v>
      </c>
      <c r="V337">
        <v>4368000</v>
      </c>
    </row>
    <row r="338" spans="1:22" x14ac:dyDescent="0.25">
      <c r="A338" t="s">
        <v>63</v>
      </c>
      <c r="B338" t="s">
        <v>64</v>
      </c>
      <c r="C338" t="str">
        <f t="shared" si="10"/>
        <v>2023</v>
      </c>
      <c r="D338" t="str">
        <f t="shared" si="11"/>
        <v>04</v>
      </c>
      <c r="E338" t="s">
        <v>62</v>
      </c>
      <c r="F338" t="s">
        <v>108</v>
      </c>
      <c r="G338" t="s">
        <v>109</v>
      </c>
      <c r="H338" t="s">
        <v>107</v>
      </c>
      <c r="I338" t="s">
        <v>26</v>
      </c>
      <c r="J338">
        <v>230</v>
      </c>
      <c r="K338">
        <v>3007.01</v>
      </c>
      <c r="L338">
        <v>445.4</v>
      </c>
      <c r="M338">
        <v>0.14810000000000001</v>
      </c>
      <c r="N338">
        <v>254.34</v>
      </c>
      <c r="O338">
        <v>8.4600000000000009E-2</v>
      </c>
      <c r="P338">
        <v>2.17</v>
      </c>
      <c r="Q338">
        <v>9.8000000000000004E-2</v>
      </c>
      <c r="R338">
        <v>5.81</v>
      </c>
      <c r="S338">
        <v>88.18</v>
      </c>
      <c r="T338">
        <v>101.97</v>
      </c>
      <c r="U338">
        <v>48000</v>
      </c>
      <c r="V338">
        <v>4368000</v>
      </c>
    </row>
    <row r="339" spans="1:22" x14ac:dyDescent="0.25">
      <c r="A339" t="s">
        <v>65</v>
      </c>
      <c r="B339" t="s">
        <v>66</v>
      </c>
      <c r="C339" t="str">
        <f t="shared" si="10"/>
        <v>2023</v>
      </c>
      <c r="D339" t="str">
        <f t="shared" si="11"/>
        <v>07</v>
      </c>
      <c r="E339" t="s">
        <v>62</v>
      </c>
      <c r="F339" t="s">
        <v>108</v>
      </c>
      <c r="G339" t="s">
        <v>109</v>
      </c>
      <c r="H339" t="s">
        <v>107</v>
      </c>
      <c r="I339" t="s">
        <v>26</v>
      </c>
      <c r="J339">
        <v>230</v>
      </c>
      <c r="K339">
        <v>2765.74</v>
      </c>
      <c r="L339">
        <v>425.97</v>
      </c>
      <c r="M339">
        <v>0.154</v>
      </c>
      <c r="N339">
        <v>305.27</v>
      </c>
      <c r="O339">
        <v>0.1104</v>
      </c>
      <c r="P339">
        <v>2.31</v>
      </c>
      <c r="Q339">
        <v>0.13800000000000001</v>
      </c>
      <c r="R339">
        <v>4.91</v>
      </c>
      <c r="S339">
        <v>85.16</v>
      </c>
      <c r="T339">
        <v>97.52</v>
      </c>
      <c r="U339">
        <v>48000</v>
      </c>
      <c r="V339">
        <v>4368000</v>
      </c>
    </row>
    <row r="340" spans="1:22" x14ac:dyDescent="0.25">
      <c r="A340" t="s">
        <v>67</v>
      </c>
      <c r="B340" t="s">
        <v>68</v>
      </c>
      <c r="C340" t="str">
        <f t="shared" si="10"/>
        <v>2023</v>
      </c>
      <c r="D340" t="str">
        <f t="shared" si="11"/>
        <v>10</v>
      </c>
      <c r="E340" t="s">
        <v>69</v>
      </c>
      <c r="F340" t="s">
        <v>108</v>
      </c>
      <c r="G340" t="s">
        <v>109</v>
      </c>
      <c r="H340" t="s">
        <v>107</v>
      </c>
      <c r="I340" t="s">
        <v>26</v>
      </c>
      <c r="J340">
        <v>230</v>
      </c>
      <c r="K340">
        <v>2896.07</v>
      </c>
      <c r="L340">
        <v>392.95</v>
      </c>
      <c r="M340">
        <v>0.13570000000000002</v>
      </c>
      <c r="N340">
        <v>125.06</v>
      </c>
      <c r="O340">
        <v>4.3200000000000002E-2</v>
      </c>
      <c r="P340">
        <v>2.12</v>
      </c>
      <c r="Q340">
        <v>0.34799999999999998</v>
      </c>
      <c r="R340">
        <v>0</v>
      </c>
      <c r="S340">
        <v>78.33</v>
      </c>
      <c r="T340">
        <v>89.96</v>
      </c>
      <c r="U340">
        <v>48000</v>
      </c>
      <c r="V340">
        <v>4368000</v>
      </c>
    </row>
    <row r="341" spans="1:22" x14ac:dyDescent="0.25">
      <c r="A341" t="s">
        <v>70</v>
      </c>
      <c r="B341" t="s">
        <v>71</v>
      </c>
      <c r="C341" t="str">
        <f t="shared" si="10"/>
        <v>2024</v>
      </c>
      <c r="D341" t="str">
        <f t="shared" si="11"/>
        <v>01</v>
      </c>
      <c r="E341" t="s">
        <v>69</v>
      </c>
      <c r="F341" t="s">
        <v>108</v>
      </c>
      <c r="G341" t="s">
        <v>109</v>
      </c>
      <c r="H341" t="s">
        <v>107</v>
      </c>
      <c r="I341" t="s">
        <v>26</v>
      </c>
      <c r="J341">
        <v>230</v>
      </c>
      <c r="K341">
        <v>2916.19</v>
      </c>
      <c r="L341">
        <v>432.52</v>
      </c>
      <c r="M341">
        <v>0.14829999999999999</v>
      </c>
      <c r="N341">
        <v>383.29</v>
      </c>
      <c r="O341">
        <v>0.13140000000000002</v>
      </c>
      <c r="P341">
        <v>2.29</v>
      </c>
      <c r="Q341">
        <v>7.8E-2</v>
      </c>
      <c r="R341">
        <v>3.38</v>
      </c>
      <c r="S341">
        <v>84.61</v>
      </c>
      <c r="T341">
        <v>99.02</v>
      </c>
      <c r="U341">
        <v>48000</v>
      </c>
      <c r="V341">
        <v>4368000</v>
      </c>
    </row>
    <row r="342" spans="1:22" x14ac:dyDescent="0.25">
      <c r="A342" t="s">
        <v>72</v>
      </c>
      <c r="B342" t="s">
        <v>73</v>
      </c>
      <c r="C342" t="str">
        <f t="shared" si="10"/>
        <v>2024</v>
      </c>
      <c r="D342" t="str">
        <f t="shared" si="11"/>
        <v>04</v>
      </c>
      <c r="E342" t="s">
        <v>69</v>
      </c>
      <c r="F342" t="s">
        <v>108</v>
      </c>
      <c r="G342" t="s">
        <v>109</v>
      </c>
      <c r="H342" t="s">
        <v>107</v>
      </c>
      <c r="I342" t="s">
        <v>26</v>
      </c>
      <c r="J342">
        <v>230</v>
      </c>
      <c r="K342">
        <v>2998.15</v>
      </c>
      <c r="L342">
        <v>444.58</v>
      </c>
      <c r="M342">
        <v>0.14829999999999999</v>
      </c>
      <c r="N342">
        <v>251.08</v>
      </c>
      <c r="O342">
        <v>8.3699999999999997E-2</v>
      </c>
      <c r="P342">
        <v>2.39</v>
      </c>
      <c r="Q342">
        <v>0.55500000000000005</v>
      </c>
      <c r="R342">
        <v>32.299999999999997</v>
      </c>
      <c r="S342">
        <v>84.06</v>
      </c>
      <c r="T342">
        <v>101.78</v>
      </c>
      <c r="U342">
        <v>48000</v>
      </c>
      <c r="V342">
        <v>4368000</v>
      </c>
    </row>
    <row r="343" spans="1:22" x14ac:dyDescent="0.25">
      <c r="A343" t="s">
        <v>74</v>
      </c>
      <c r="B343" t="s">
        <v>75</v>
      </c>
      <c r="C343" t="str">
        <f t="shared" si="10"/>
        <v>2024</v>
      </c>
      <c r="D343" t="str">
        <f t="shared" si="11"/>
        <v>07</v>
      </c>
      <c r="E343" t="s">
        <v>69</v>
      </c>
      <c r="F343" t="s">
        <v>108</v>
      </c>
      <c r="G343" t="s">
        <v>109</v>
      </c>
      <c r="H343" t="s">
        <v>107</v>
      </c>
      <c r="I343" t="s">
        <v>26</v>
      </c>
      <c r="J343">
        <v>230</v>
      </c>
      <c r="K343">
        <v>2873.22</v>
      </c>
      <c r="L343">
        <v>410.5</v>
      </c>
      <c r="M343">
        <v>0.1429</v>
      </c>
      <c r="N343">
        <v>201.54</v>
      </c>
      <c r="O343">
        <v>7.0099999999999996E-2</v>
      </c>
      <c r="P343">
        <v>2.31</v>
      </c>
      <c r="Q343">
        <v>0.40600000000000003</v>
      </c>
      <c r="R343">
        <v>7.37</v>
      </c>
      <c r="S343">
        <v>80.400000000000006</v>
      </c>
      <c r="T343">
        <v>93.98</v>
      </c>
      <c r="U343">
        <v>48000</v>
      </c>
      <c r="V343">
        <v>4368000</v>
      </c>
    </row>
    <row r="344" spans="1:22" x14ac:dyDescent="0.25">
      <c r="A344" t="s">
        <v>76</v>
      </c>
      <c r="B344" t="s">
        <v>77</v>
      </c>
      <c r="C344" t="str">
        <f t="shared" si="10"/>
        <v>2024</v>
      </c>
      <c r="D344" t="str">
        <f t="shared" si="11"/>
        <v>10</v>
      </c>
      <c r="E344" t="s">
        <v>69</v>
      </c>
      <c r="F344" t="s">
        <v>108</v>
      </c>
      <c r="G344" t="s">
        <v>109</v>
      </c>
      <c r="H344" t="s">
        <v>107</v>
      </c>
      <c r="I344" t="s">
        <v>26</v>
      </c>
      <c r="J344">
        <v>230</v>
      </c>
      <c r="K344">
        <v>2983.89</v>
      </c>
      <c r="L344">
        <v>491.49</v>
      </c>
      <c r="M344">
        <v>0.16469999999999999</v>
      </c>
      <c r="N344">
        <v>189.43</v>
      </c>
      <c r="O344">
        <v>6.3500000000000001E-2</v>
      </c>
      <c r="P344">
        <v>2.41</v>
      </c>
      <c r="Q344">
        <v>0.59799999999999998</v>
      </c>
      <c r="R344">
        <v>73.540000000000006</v>
      </c>
      <c r="S344">
        <v>94.78</v>
      </c>
      <c r="T344">
        <v>112.52</v>
      </c>
      <c r="U344">
        <v>48000</v>
      </c>
      <c r="V344">
        <v>4368000</v>
      </c>
    </row>
    <row r="345" spans="1:22" x14ac:dyDescent="0.25">
      <c r="A345" t="s">
        <v>78</v>
      </c>
      <c r="B345" t="s">
        <v>79</v>
      </c>
      <c r="C345" t="str">
        <f t="shared" si="10"/>
        <v>2025</v>
      </c>
      <c r="D345" t="str">
        <f t="shared" si="11"/>
        <v>01</v>
      </c>
      <c r="E345" t="s">
        <v>80</v>
      </c>
      <c r="F345" t="s">
        <v>108</v>
      </c>
      <c r="G345" t="s">
        <v>109</v>
      </c>
      <c r="H345" t="s">
        <v>107</v>
      </c>
      <c r="I345" t="s">
        <v>26</v>
      </c>
      <c r="J345">
        <v>230</v>
      </c>
      <c r="K345">
        <v>2676.55</v>
      </c>
      <c r="L345">
        <v>443.53</v>
      </c>
      <c r="M345">
        <v>0.16570000000000001</v>
      </c>
      <c r="N345">
        <v>159.13999999999999</v>
      </c>
      <c r="O345">
        <v>5.9500000000000004E-2</v>
      </c>
      <c r="P345">
        <v>2.0699999999999998</v>
      </c>
      <c r="Q345">
        <v>0.441</v>
      </c>
      <c r="R345">
        <v>25.08</v>
      </c>
      <c r="S345">
        <v>85.13</v>
      </c>
      <c r="T345">
        <v>101.54</v>
      </c>
      <c r="U345">
        <v>48000</v>
      </c>
      <c r="V345">
        <v>4368000</v>
      </c>
    </row>
    <row r="346" spans="1:22" x14ac:dyDescent="0.25">
      <c r="A346" t="s">
        <v>81</v>
      </c>
      <c r="B346" t="s">
        <v>82</v>
      </c>
      <c r="C346" t="str">
        <f t="shared" si="10"/>
        <v>2025</v>
      </c>
      <c r="D346" t="str">
        <f t="shared" si="11"/>
        <v>04</v>
      </c>
      <c r="E346" t="s">
        <v>80</v>
      </c>
      <c r="F346" t="s">
        <v>108</v>
      </c>
      <c r="G346" t="s">
        <v>109</v>
      </c>
      <c r="H346" t="s">
        <v>107</v>
      </c>
      <c r="I346" t="s">
        <v>26</v>
      </c>
      <c r="J346">
        <v>230</v>
      </c>
      <c r="K346">
        <v>2966.43</v>
      </c>
      <c r="L346">
        <v>526.04</v>
      </c>
      <c r="M346">
        <v>0.17730000000000001</v>
      </c>
      <c r="N346">
        <v>177.74</v>
      </c>
      <c r="O346">
        <v>5.9900000000000002E-2</v>
      </c>
      <c r="P346">
        <v>2.2400000000000002</v>
      </c>
      <c r="Q346">
        <v>0.53500000000000003</v>
      </c>
      <c r="R346">
        <v>95.15</v>
      </c>
      <c r="S346">
        <v>101.77</v>
      </c>
      <c r="T346">
        <v>120.43</v>
      </c>
      <c r="U346">
        <v>48000</v>
      </c>
      <c r="V346">
        <v>4368000</v>
      </c>
    </row>
    <row r="347" spans="1:22" x14ac:dyDescent="0.25">
      <c r="A347" t="s">
        <v>83</v>
      </c>
      <c r="B347" t="s">
        <v>84</v>
      </c>
      <c r="C347" t="str">
        <f t="shared" si="10"/>
        <v>2025</v>
      </c>
      <c r="D347" t="str">
        <f t="shared" si="11"/>
        <v>07</v>
      </c>
      <c r="E347" t="s">
        <v>80</v>
      </c>
      <c r="F347" t="s">
        <v>108</v>
      </c>
      <c r="G347" t="s">
        <v>109</v>
      </c>
      <c r="H347" t="s">
        <v>107</v>
      </c>
      <c r="I347" t="s">
        <v>26</v>
      </c>
      <c r="J347">
        <v>230</v>
      </c>
      <c r="K347">
        <v>2714</v>
      </c>
      <c r="L347">
        <v>490.18</v>
      </c>
      <c r="M347">
        <v>0.18059999999999998</v>
      </c>
      <c r="N347">
        <v>179.44</v>
      </c>
      <c r="O347">
        <v>6.6100000000000006E-2</v>
      </c>
      <c r="P347">
        <v>2.2599999999999998</v>
      </c>
      <c r="Q347">
        <v>0.10800000000000001</v>
      </c>
      <c r="R347">
        <v>13.07</v>
      </c>
      <c r="S347">
        <v>93.24</v>
      </c>
      <c r="T347">
        <v>112.22</v>
      </c>
      <c r="U347">
        <v>48000</v>
      </c>
      <c r="V347">
        <v>4368000</v>
      </c>
    </row>
    <row r="348" spans="1:22" x14ac:dyDescent="0.25">
      <c r="A348" t="s">
        <v>85</v>
      </c>
      <c r="B348" t="s">
        <v>86</v>
      </c>
      <c r="C348" t="str">
        <f t="shared" si="10"/>
        <v>2025</v>
      </c>
      <c r="D348" t="str">
        <f t="shared" si="11"/>
        <v>10</v>
      </c>
      <c r="E348" t="s">
        <v>80</v>
      </c>
      <c r="F348" t="s">
        <v>108</v>
      </c>
      <c r="G348" t="s">
        <v>109</v>
      </c>
      <c r="H348" t="s">
        <v>107</v>
      </c>
      <c r="I348" t="s">
        <v>26</v>
      </c>
      <c r="J348">
        <v>230</v>
      </c>
      <c r="K348">
        <v>2961.4</v>
      </c>
      <c r="L348">
        <v>487.77</v>
      </c>
      <c r="M348">
        <v>0.16469999999999999</v>
      </c>
      <c r="N348">
        <v>263.72000000000003</v>
      </c>
      <c r="O348">
        <v>8.9099999999999999E-2</v>
      </c>
      <c r="P348">
        <v>2.34</v>
      </c>
      <c r="Q348">
        <v>8.8000000000000009E-2</v>
      </c>
      <c r="R348">
        <v>10.34</v>
      </c>
      <c r="S348">
        <v>99.34</v>
      </c>
      <c r="T348">
        <v>111.67</v>
      </c>
      <c r="U348">
        <v>48000</v>
      </c>
      <c r="V348">
        <v>4368000</v>
      </c>
    </row>
    <row r="349" spans="1:22" x14ac:dyDescent="0.25">
      <c r="A349" t="s">
        <v>87</v>
      </c>
      <c r="B349" t="s">
        <v>88</v>
      </c>
      <c r="C349" t="str">
        <f t="shared" si="10"/>
        <v>2026</v>
      </c>
      <c r="D349" t="str">
        <f t="shared" si="11"/>
        <v>01</v>
      </c>
      <c r="E349" t="s">
        <v>89</v>
      </c>
      <c r="F349" t="s">
        <v>108</v>
      </c>
      <c r="G349" t="s">
        <v>109</v>
      </c>
      <c r="H349" t="s">
        <v>107</v>
      </c>
      <c r="I349" t="s">
        <v>26</v>
      </c>
      <c r="J349">
        <v>230</v>
      </c>
      <c r="K349">
        <v>2340.61</v>
      </c>
      <c r="L349">
        <v>641.22</v>
      </c>
      <c r="M349">
        <v>0.27399999999999997</v>
      </c>
      <c r="N349">
        <v>-171.33</v>
      </c>
      <c r="O349">
        <v>-7.3200000000000001E-2</v>
      </c>
      <c r="P349">
        <v>1.94</v>
      </c>
      <c r="Q349">
        <v>0.20600000000000002</v>
      </c>
      <c r="R349">
        <v>83.36</v>
      </c>
      <c r="S349">
        <v>130.88</v>
      </c>
      <c r="T349">
        <v>146.80000000000001</v>
      </c>
      <c r="U349">
        <v>48000</v>
      </c>
      <c r="V349">
        <v>4368000</v>
      </c>
    </row>
    <row r="350" spans="1:22" x14ac:dyDescent="0.25">
      <c r="A350" t="s">
        <v>20</v>
      </c>
      <c r="B350" t="s">
        <v>21</v>
      </c>
      <c r="C350" t="str">
        <f t="shared" si="10"/>
        <v>2019</v>
      </c>
      <c r="D350" t="str">
        <f t="shared" si="11"/>
        <v>01</v>
      </c>
      <c r="E350" t="s">
        <v>22</v>
      </c>
      <c r="F350" t="s">
        <v>110</v>
      </c>
      <c r="G350" t="s">
        <v>111</v>
      </c>
      <c r="H350" t="s">
        <v>107</v>
      </c>
      <c r="I350" t="s">
        <v>26</v>
      </c>
      <c r="J350">
        <v>183</v>
      </c>
      <c r="K350">
        <v>1691.37</v>
      </c>
      <c r="L350">
        <v>217.18</v>
      </c>
      <c r="M350">
        <v>0.12839999999999999</v>
      </c>
      <c r="N350">
        <v>153.91</v>
      </c>
      <c r="O350">
        <v>9.0999999999999998E-2</v>
      </c>
      <c r="P350">
        <v>1.98</v>
      </c>
      <c r="Q350">
        <v>0.29899999999999999</v>
      </c>
      <c r="R350">
        <v>0</v>
      </c>
      <c r="S350">
        <v>63</v>
      </c>
      <c r="T350">
        <v>74.58</v>
      </c>
      <c r="U350">
        <v>32000</v>
      </c>
      <c r="V350">
        <v>2912000</v>
      </c>
    </row>
    <row r="351" spans="1:22" x14ac:dyDescent="0.25">
      <c r="A351" t="s">
        <v>27</v>
      </c>
      <c r="B351" t="s">
        <v>28</v>
      </c>
      <c r="C351" t="str">
        <f t="shared" si="10"/>
        <v>2019</v>
      </c>
      <c r="D351" t="str">
        <f t="shared" si="11"/>
        <v>04</v>
      </c>
      <c r="E351" t="s">
        <v>22</v>
      </c>
      <c r="F351" t="s">
        <v>110</v>
      </c>
      <c r="G351" t="s">
        <v>111</v>
      </c>
      <c r="H351" t="s">
        <v>107</v>
      </c>
      <c r="I351" t="s">
        <v>26</v>
      </c>
      <c r="J351">
        <v>183</v>
      </c>
      <c r="K351">
        <v>1593.88</v>
      </c>
      <c r="L351">
        <v>213.57</v>
      </c>
      <c r="M351">
        <v>0.13400000000000001</v>
      </c>
      <c r="N351">
        <v>79.89</v>
      </c>
      <c r="O351">
        <v>5.0099999999999999E-2</v>
      </c>
      <c r="P351">
        <v>1.66</v>
      </c>
      <c r="Q351">
        <v>0.36599999999999999</v>
      </c>
      <c r="R351">
        <v>0</v>
      </c>
      <c r="S351">
        <v>64.790000000000006</v>
      </c>
      <c r="T351">
        <v>73.34</v>
      </c>
      <c r="U351">
        <v>32000</v>
      </c>
      <c r="V351">
        <v>2912000</v>
      </c>
    </row>
    <row r="352" spans="1:22" x14ac:dyDescent="0.25">
      <c r="A352" t="s">
        <v>29</v>
      </c>
      <c r="B352" t="s">
        <v>30</v>
      </c>
      <c r="C352" t="str">
        <f t="shared" si="10"/>
        <v>2019</v>
      </c>
      <c r="D352" t="str">
        <f t="shared" si="11"/>
        <v>07</v>
      </c>
      <c r="E352" t="s">
        <v>22</v>
      </c>
      <c r="F352" t="s">
        <v>110</v>
      </c>
      <c r="G352" t="s">
        <v>111</v>
      </c>
      <c r="H352" t="s">
        <v>107</v>
      </c>
      <c r="I352" t="s">
        <v>26</v>
      </c>
      <c r="J352">
        <v>183</v>
      </c>
      <c r="K352">
        <v>1579.67</v>
      </c>
      <c r="L352">
        <v>207.07</v>
      </c>
      <c r="M352">
        <v>0.13109999999999999</v>
      </c>
      <c r="N352">
        <v>69.47</v>
      </c>
      <c r="O352">
        <v>4.4000000000000004E-2</v>
      </c>
      <c r="P352">
        <v>1.71</v>
      </c>
      <c r="Q352">
        <v>0.22600000000000001</v>
      </c>
      <c r="R352">
        <v>0</v>
      </c>
      <c r="S352">
        <v>60.46</v>
      </c>
      <c r="T352">
        <v>71.11</v>
      </c>
      <c r="U352">
        <v>32000</v>
      </c>
      <c r="V352">
        <v>2912000</v>
      </c>
    </row>
    <row r="353" spans="1:22" x14ac:dyDescent="0.25">
      <c r="A353" t="s">
        <v>31</v>
      </c>
      <c r="B353" t="s">
        <v>32</v>
      </c>
      <c r="C353" t="str">
        <f t="shared" si="10"/>
        <v>2019</v>
      </c>
      <c r="D353" t="str">
        <f t="shared" si="11"/>
        <v>10</v>
      </c>
      <c r="E353" t="s">
        <v>22</v>
      </c>
      <c r="F353" t="s">
        <v>110</v>
      </c>
      <c r="G353" t="s">
        <v>111</v>
      </c>
      <c r="H353" t="s">
        <v>107</v>
      </c>
      <c r="I353" t="s">
        <v>26</v>
      </c>
      <c r="J353">
        <v>183</v>
      </c>
      <c r="K353">
        <v>1632.56</v>
      </c>
      <c r="L353">
        <v>224.14</v>
      </c>
      <c r="M353">
        <v>0.13730000000000001</v>
      </c>
      <c r="N353">
        <v>139.44</v>
      </c>
      <c r="O353">
        <v>8.539999999999999E-2</v>
      </c>
      <c r="P353">
        <v>1.88</v>
      </c>
      <c r="Q353">
        <v>0.625</v>
      </c>
      <c r="R353">
        <v>0</v>
      </c>
      <c r="S353">
        <v>65.66</v>
      </c>
      <c r="T353">
        <v>76.97</v>
      </c>
      <c r="U353">
        <v>32000</v>
      </c>
      <c r="V353">
        <v>2912000</v>
      </c>
    </row>
    <row r="354" spans="1:22" x14ac:dyDescent="0.25">
      <c r="A354" t="s">
        <v>33</v>
      </c>
      <c r="B354" t="s">
        <v>34</v>
      </c>
      <c r="C354" t="str">
        <f t="shared" si="10"/>
        <v>2020</v>
      </c>
      <c r="D354" t="str">
        <f t="shared" si="11"/>
        <v>01</v>
      </c>
      <c r="E354" t="s">
        <v>22</v>
      </c>
      <c r="F354" t="s">
        <v>110</v>
      </c>
      <c r="G354" t="s">
        <v>111</v>
      </c>
      <c r="H354" t="s">
        <v>107</v>
      </c>
      <c r="I354" t="s">
        <v>26</v>
      </c>
      <c r="J354">
        <v>183</v>
      </c>
      <c r="K354">
        <v>1599.16</v>
      </c>
      <c r="L354">
        <v>219.51</v>
      </c>
      <c r="M354">
        <v>0.13730000000000001</v>
      </c>
      <c r="N354">
        <v>214.67</v>
      </c>
      <c r="O354">
        <v>0.13419999999999999</v>
      </c>
      <c r="P354">
        <v>1.65</v>
      </c>
      <c r="Q354">
        <v>0.49099999999999999</v>
      </c>
      <c r="R354">
        <v>0</v>
      </c>
      <c r="S354">
        <v>66.66</v>
      </c>
      <c r="T354">
        <v>75.38</v>
      </c>
      <c r="U354">
        <v>32000</v>
      </c>
      <c r="V354">
        <v>2912000</v>
      </c>
    </row>
    <row r="355" spans="1:22" x14ac:dyDescent="0.25">
      <c r="A355" t="s">
        <v>35</v>
      </c>
      <c r="B355" t="s">
        <v>36</v>
      </c>
      <c r="C355" t="str">
        <f t="shared" si="10"/>
        <v>2020</v>
      </c>
      <c r="D355" t="str">
        <f t="shared" si="11"/>
        <v>04</v>
      </c>
      <c r="E355" t="s">
        <v>37</v>
      </c>
      <c r="F355" t="s">
        <v>110</v>
      </c>
      <c r="G355" t="s">
        <v>111</v>
      </c>
      <c r="H355" t="s">
        <v>107</v>
      </c>
      <c r="I355" t="s">
        <v>26</v>
      </c>
      <c r="J355">
        <v>183</v>
      </c>
      <c r="K355">
        <v>465.19</v>
      </c>
      <c r="L355">
        <v>68.989999999999995</v>
      </c>
      <c r="M355">
        <v>0.14829999999999999</v>
      </c>
      <c r="N355">
        <v>-203.26</v>
      </c>
      <c r="O355">
        <v>-0.43689999999999996</v>
      </c>
      <c r="P355">
        <v>0.53</v>
      </c>
      <c r="Q355">
        <v>0.58599999999999997</v>
      </c>
      <c r="R355">
        <v>0</v>
      </c>
      <c r="S355">
        <v>20.57</v>
      </c>
      <c r="T355">
        <v>23.69</v>
      </c>
      <c r="U355">
        <v>32000</v>
      </c>
      <c r="V355">
        <v>2912000</v>
      </c>
    </row>
    <row r="356" spans="1:22" x14ac:dyDescent="0.25">
      <c r="A356" t="s">
        <v>38</v>
      </c>
      <c r="B356" t="s">
        <v>39</v>
      </c>
      <c r="C356" t="str">
        <f t="shared" si="10"/>
        <v>2020</v>
      </c>
      <c r="D356" t="str">
        <f t="shared" si="11"/>
        <v>07</v>
      </c>
      <c r="E356" t="s">
        <v>37</v>
      </c>
      <c r="F356" t="s">
        <v>110</v>
      </c>
      <c r="G356" t="s">
        <v>111</v>
      </c>
      <c r="H356" t="s">
        <v>107</v>
      </c>
      <c r="I356" t="s">
        <v>26</v>
      </c>
      <c r="J356">
        <v>183</v>
      </c>
      <c r="K356">
        <v>546.07000000000005</v>
      </c>
      <c r="L356">
        <v>146.85</v>
      </c>
      <c r="M356">
        <v>0.26890000000000003</v>
      </c>
      <c r="N356">
        <v>-152.19</v>
      </c>
      <c r="O356">
        <v>-0.2787</v>
      </c>
      <c r="P356">
        <v>0.63</v>
      </c>
      <c r="Q356">
        <v>4.7E-2</v>
      </c>
      <c r="R356">
        <v>0</v>
      </c>
      <c r="S356">
        <v>44.05</v>
      </c>
      <c r="T356">
        <v>50.43</v>
      </c>
      <c r="U356">
        <v>32000</v>
      </c>
      <c r="V356">
        <v>2912000</v>
      </c>
    </row>
    <row r="357" spans="1:22" x14ac:dyDescent="0.25">
      <c r="A357" t="s">
        <v>40</v>
      </c>
      <c r="B357" t="s">
        <v>41</v>
      </c>
      <c r="C357" t="str">
        <f t="shared" si="10"/>
        <v>2020</v>
      </c>
      <c r="D357" t="str">
        <f t="shared" si="11"/>
        <v>10</v>
      </c>
      <c r="E357" t="s">
        <v>37</v>
      </c>
      <c r="F357" t="s">
        <v>110</v>
      </c>
      <c r="G357" t="s">
        <v>111</v>
      </c>
      <c r="H357" t="s">
        <v>107</v>
      </c>
      <c r="I357" t="s">
        <v>26</v>
      </c>
      <c r="J357">
        <v>183</v>
      </c>
      <c r="K357">
        <v>296.16000000000003</v>
      </c>
      <c r="L357">
        <v>132.96</v>
      </c>
      <c r="M357">
        <v>0.44900000000000001</v>
      </c>
      <c r="N357">
        <v>-113.84</v>
      </c>
      <c r="O357">
        <v>-0.38439999999999996</v>
      </c>
      <c r="P357">
        <v>0.33</v>
      </c>
      <c r="Q357">
        <v>0.251</v>
      </c>
      <c r="R357">
        <v>0</v>
      </c>
      <c r="S357">
        <v>39.950000000000003</v>
      </c>
      <c r="T357">
        <v>45.66</v>
      </c>
      <c r="U357">
        <v>32000</v>
      </c>
      <c r="V357">
        <v>2912000</v>
      </c>
    </row>
    <row r="358" spans="1:22" x14ac:dyDescent="0.25">
      <c r="A358" t="s">
        <v>42</v>
      </c>
      <c r="B358" t="s">
        <v>43</v>
      </c>
      <c r="C358" t="str">
        <f t="shared" si="10"/>
        <v>2021</v>
      </c>
      <c r="D358" t="str">
        <f t="shared" si="11"/>
        <v>01</v>
      </c>
      <c r="E358" t="s">
        <v>37</v>
      </c>
      <c r="F358" t="s">
        <v>110</v>
      </c>
      <c r="G358" t="s">
        <v>111</v>
      </c>
      <c r="H358" t="s">
        <v>107</v>
      </c>
      <c r="I358" t="s">
        <v>26</v>
      </c>
      <c r="J358">
        <v>183</v>
      </c>
      <c r="K358">
        <v>457.32</v>
      </c>
      <c r="L358">
        <v>249.76</v>
      </c>
      <c r="M358">
        <v>0.54610000000000003</v>
      </c>
      <c r="N358">
        <v>-154.84</v>
      </c>
      <c r="O358">
        <v>-0.33860000000000001</v>
      </c>
      <c r="P358">
        <v>0.53</v>
      </c>
      <c r="Q358">
        <v>0.46399999999999997</v>
      </c>
      <c r="R358">
        <v>0</v>
      </c>
      <c r="S358">
        <v>75.489999999999995</v>
      </c>
      <c r="T358">
        <v>85.77</v>
      </c>
      <c r="U358">
        <v>32000</v>
      </c>
      <c r="V358">
        <v>2912000</v>
      </c>
    </row>
    <row r="359" spans="1:22" x14ac:dyDescent="0.25">
      <c r="A359" t="s">
        <v>44</v>
      </c>
      <c r="B359" t="s">
        <v>45</v>
      </c>
      <c r="C359" t="str">
        <f t="shared" si="10"/>
        <v>2021</v>
      </c>
      <c r="D359" t="str">
        <f t="shared" si="11"/>
        <v>04</v>
      </c>
      <c r="E359" t="s">
        <v>37</v>
      </c>
      <c r="F359" t="s">
        <v>110</v>
      </c>
      <c r="G359" t="s">
        <v>111</v>
      </c>
      <c r="H359" t="s">
        <v>107</v>
      </c>
      <c r="I359" t="s">
        <v>26</v>
      </c>
      <c r="J359">
        <v>183</v>
      </c>
      <c r="K359">
        <v>486.62</v>
      </c>
      <c r="L359">
        <v>264.76</v>
      </c>
      <c r="M359">
        <v>0.54409999999999992</v>
      </c>
      <c r="N359">
        <v>-118.14</v>
      </c>
      <c r="O359">
        <v>-0.24280000000000002</v>
      </c>
      <c r="P359">
        <v>0.56999999999999995</v>
      </c>
      <c r="Q359">
        <v>0.50700000000000001</v>
      </c>
      <c r="R359">
        <v>1.37</v>
      </c>
      <c r="S359">
        <v>76.83</v>
      </c>
      <c r="T359">
        <v>90.92</v>
      </c>
      <c r="U359">
        <v>32000</v>
      </c>
      <c r="V359">
        <v>2912000</v>
      </c>
    </row>
    <row r="360" spans="1:22" x14ac:dyDescent="0.25">
      <c r="A360" t="s">
        <v>46</v>
      </c>
      <c r="B360" t="s">
        <v>47</v>
      </c>
      <c r="C360" t="str">
        <f t="shared" si="10"/>
        <v>2021</v>
      </c>
      <c r="D360" t="str">
        <f t="shared" si="11"/>
        <v>07</v>
      </c>
      <c r="E360" t="s">
        <v>48</v>
      </c>
      <c r="F360" t="s">
        <v>110</v>
      </c>
      <c r="G360" t="s">
        <v>111</v>
      </c>
      <c r="H360" t="s">
        <v>107</v>
      </c>
      <c r="I360" t="s">
        <v>26</v>
      </c>
      <c r="J360">
        <v>183</v>
      </c>
      <c r="K360">
        <v>1077.68</v>
      </c>
      <c r="L360">
        <v>261.85000000000002</v>
      </c>
      <c r="M360">
        <v>0.24299999999999999</v>
      </c>
      <c r="N360">
        <v>33.43</v>
      </c>
      <c r="O360">
        <v>3.1E-2</v>
      </c>
      <c r="P360">
        <v>1.06</v>
      </c>
      <c r="Q360">
        <v>0.48299999999999998</v>
      </c>
      <c r="R360">
        <v>0</v>
      </c>
      <c r="S360">
        <v>78.97</v>
      </c>
      <c r="T360">
        <v>89.92</v>
      </c>
      <c r="U360">
        <v>32000</v>
      </c>
      <c r="V360">
        <v>2912000</v>
      </c>
    </row>
    <row r="361" spans="1:22" x14ac:dyDescent="0.25">
      <c r="A361" t="s">
        <v>49</v>
      </c>
      <c r="B361" t="s">
        <v>50</v>
      </c>
      <c r="C361" t="str">
        <f t="shared" si="10"/>
        <v>2021</v>
      </c>
      <c r="D361" t="str">
        <f t="shared" si="11"/>
        <v>10</v>
      </c>
      <c r="E361" t="s">
        <v>48</v>
      </c>
      <c r="F361" t="s">
        <v>110</v>
      </c>
      <c r="G361" t="s">
        <v>111</v>
      </c>
      <c r="H361" t="s">
        <v>107</v>
      </c>
      <c r="I361" t="s">
        <v>26</v>
      </c>
      <c r="J361">
        <v>183</v>
      </c>
      <c r="K361">
        <v>1076.0899999999999</v>
      </c>
      <c r="L361">
        <v>303.58</v>
      </c>
      <c r="M361">
        <v>0.28210000000000002</v>
      </c>
      <c r="N361">
        <v>83.74</v>
      </c>
      <c r="O361">
        <v>7.7800000000000008E-2</v>
      </c>
      <c r="P361">
        <v>1.2</v>
      </c>
      <c r="Q361">
        <v>0.11800000000000001</v>
      </c>
      <c r="R361">
        <v>5.67</v>
      </c>
      <c r="S361">
        <v>86.82</v>
      </c>
      <c r="T361">
        <v>104.25</v>
      </c>
      <c r="U361">
        <v>32000</v>
      </c>
      <c r="V361">
        <v>2912000</v>
      </c>
    </row>
    <row r="362" spans="1:22" x14ac:dyDescent="0.25">
      <c r="A362" t="s">
        <v>51</v>
      </c>
      <c r="B362" t="s">
        <v>52</v>
      </c>
      <c r="C362" t="str">
        <f t="shared" si="10"/>
        <v>2022</v>
      </c>
      <c r="D362" t="str">
        <f t="shared" si="11"/>
        <v>01</v>
      </c>
      <c r="E362" t="s">
        <v>48</v>
      </c>
      <c r="F362" t="s">
        <v>110</v>
      </c>
      <c r="G362" t="s">
        <v>111</v>
      </c>
      <c r="H362" t="s">
        <v>107</v>
      </c>
      <c r="I362" t="s">
        <v>26</v>
      </c>
      <c r="J362">
        <v>183</v>
      </c>
      <c r="K362">
        <v>1208.44</v>
      </c>
      <c r="L362">
        <v>237.15</v>
      </c>
      <c r="M362">
        <v>0.19620000000000001</v>
      </c>
      <c r="N362">
        <v>69.45</v>
      </c>
      <c r="O362">
        <v>5.7500000000000002E-2</v>
      </c>
      <c r="P362">
        <v>1.24</v>
      </c>
      <c r="Q362">
        <v>0.34899999999999998</v>
      </c>
      <c r="R362">
        <v>0</v>
      </c>
      <c r="S362">
        <v>72.010000000000005</v>
      </c>
      <c r="T362">
        <v>81.44</v>
      </c>
      <c r="U362">
        <v>32000</v>
      </c>
      <c r="V362">
        <v>2912000</v>
      </c>
    </row>
    <row r="363" spans="1:22" x14ac:dyDescent="0.25">
      <c r="A363" t="s">
        <v>53</v>
      </c>
      <c r="B363" t="s">
        <v>54</v>
      </c>
      <c r="C363" t="str">
        <f t="shared" si="10"/>
        <v>2022</v>
      </c>
      <c r="D363" t="str">
        <f t="shared" si="11"/>
        <v>04</v>
      </c>
      <c r="E363" t="s">
        <v>55</v>
      </c>
      <c r="F363" t="s">
        <v>110</v>
      </c>
      <c r="G363" t="s">
        <v>111</v>
      </c>
      <c r="H363" t="s">
        <v>107</v>
      </c>
      <c r="I363" t="s">
        <v>26</v>
      </c>
      <c r="J363">
        <v>183</v>
      </c>
      <c r="K363">
        <v>1463.66</v>
      </c>
      <c r="L363">
        <v>383.31</v>
      </c>
      <c r="M363">
        <v>0.26190000000000002</v>
      </c>
      <c r="N363">
        <v>121.59</v>
      </c>
      <c r="O363">
        <v>8.3100000000000007E-2</v>
      </c>
      <c r="P363">
        <v>1.5</v>
      </c>
      <c r="Q363">
        <v>0.252</v>
      </c>
      <c r="R363">
        <v>44.68</v>
      </c>
      <c r="S363">
        <v>109.53</v>
      </c>
      <c r="T363">
        <v>131.63</v>
      </c>
      <c r="U363">
        <v>32000</v>
      </c>
      <c r="V363">
        <v>2912000</v>
      </c>
    </row>
    <row r="364" spans="1:22" x14ac:dyDescent="0.25">
      <c r="A364" t="s">
        <v>56</v>
      </c>
      <c r="B364" t="s">
        <v>57</v>
      </c>
      <c r="C364" t="str">
        <f t="shared" si="10"/>
        <v>2022</v>
      </c>
      <c r="D364" t="str">
        <f t="shared" si="11"/>
        <v>07</v>
      </c>
      <c r="E364" t="s">
        <v>55</v>
      </c>
      <c r="F364" t="s">
        <v>110</v>
      </c>
      <c r="G364" t="s">
        <v>111</v>
      </c>
      <c r="H364" t="s">
        <v>107</v>
      </c>
      <c r="I364" t="s">
        <v>26</v>
      </c>
      <c r="J364">
        <v>183</v>
      </c>
      <c r="K364">
        <v>1634.83</v>
      </c>
      <c r="L364">
        <v>275.14999999999998</v>
      </c>
      <c r="M364">
        <v>0.16829999999999998</v>
      </c>
      <c r="N364">
        <v>51.64</v>
      </c>
      <c r="O364">
        <v>3.1600000000000003E-2</v>
      </c>
      <c r="P364">
        <v>1.94</v>
      </c>
      <c r="Q364">
        <v>0.30499999999999999</v>
      </c>
      <c r="R364">
        <v>4.1900000000000004</v>
      </c>
      <c r="S364">
        <v>80.69</v>
      </c>
      <c r="T364">
        <v>94.49</v>
      </c>
      <c r="U364">
        <v>32000</v>
      </c>
      <c r="V364">
        <v>2912000</v>
      </c>
    </row>
    <row r="365" spans="1:22" x14ac:dyDescent="0.25">
      <c r="A365" t="s">
        <v>58</v>
      </c>
      <c r="B365" t="s">
        <v>59</v>
      </c>
      <c r="C365" t="str">
        <f t="shared" si="10"/>
        <v>2022</v>
      </c>
      <c r="D365" t="str">
        <f t="shared" si="11"/>
        <v>10</v>
      </c>
      <c r="E365" t="s">
        <v>55</v>
      </c>
      <c r="F365" t="s">
        <v>110</v>
      </c>
      <c r="G365" t="s">
        <v>111</v>
      </c>
      <c r="H365" t="s">
        <v>107</v>
      </c>
      <c r="I365" t="s">
        <v>26</v>
      </c>
      <c r="J365">
        <v>183</v>
      </c>
      <c r="K365">
        <v>1537.83</v>
      </c>
      <c r="L365">
        <v>307.39</v>
      </c>
      <c r="M365">
        <v>0.19989999999999999</v>
      </c>
      <c r="N365">
        <v>121.2</v>
      </c>
      <c r="O365">
        <v>7.8799999999999995E-2</v>
      </c>
      <c r="P365">
        <v>1.81</v>
      </c>
      <c r="Q365">
        <v>0.59299999999999997</v>
      </c>
      <c r="R365">
        <v>31.51</v>
      </c>
      <c r="S365">
        <v>93.25</v>
      </c>
      <c r="T365">
        <v>105.56</v>
      </c>
      <c r="U365">
        <v>32000</v>
      </c>
      <c r="V365">
        <v>2912000</v>
      </c>
    </row>
    <row r="366" spans="1:22" x14ac:dyDescent="0.25">
      <c r="A366" t="s">
        <v>60</v>
      </c>
      <c r="B366" t="s">
        <v>61</v>
      </c>
      <c r="C366" t="str">
        <f t="shared" si="10"/>
        <v>2023</v>
      </c>
      <c r="D366" t="str">
        <f t="shared" si="11"/>
        <v>01</v>
      </c>
      <c r="E366" t="s">
        <v>62</v>
      </c>
      <c r="F366" t="s">
        <v>110</v>
      </c>
      <c r="G366" t="s">
        <v>111</v>
      </c>
      <c r="H366" t="s">
        <v>107</v>
      </c>
      <c r="I366" t="s">
        <v>26</v>
      </c>
      <c r="J366">
        <v>183</v>
      </c>
      <c r="K366">
        <v>1634.83</v>
      </c>
      <c r="L366">
        <v>282.83999999999997</v>
      </c>
      <c r="M366">
        <v>0.17300000000000001</v>
      </c>
      <c r="N366">
        <v>124.16</v>
      </c>
      <c r="O366">
        <v>7.5899999999999995E-2</v>
      </c>
      <c r="P366">
        <v>1.94</v>
      </c>
      <c r="Q366">
        <v>3.4000000000000002E-2</v>
      </c>
      <c r="R366">
        <v>0.76</v>
      </c>
      <c r="S366">
        <v>84.29</v>
      </c>
      <c r="T366">
        <v>97.13</v>
      </c>
      <c r="U366">
        <v>32000</v>
      </c>
      <c r="V366">
        <v>2912000</v>
      </c>
    </row>
    <row r="367" spans="1:22" x14ac:dyDescent="0.25">
      <c r="A367" t="s">
        <v>63</v>
      </c>
      <c r="B367" t="s">
        <v>64</v>
      </c>
      <c r="C367" t="str">
        <f t="shared" si="10"/>
        <v>2023</v>
      </c>
      <c r="D367" t="str">
        <f t="shared" si="11"/>
        <v>04</v>
      </c>
      <c r="E367" t="s">
        <v>62</v>
      </c>
      <c r="F367" t="s">
        <v>110</v>
      </c>
      <c r="G367" t="s">
        <v>111</v>
      </c>
      <c r="H367" t="s">
        <v>107</v>
      </c>
      <c r="I367" t="s">
        <v>26</v>
      </c>
      <c r="J367">
        <v>183</v>
      </c>
      <c r="K367">
        <v>1702.3</v>
      </c>
      <c r="L367">
        <v>296.94</v>
      </c>
      <c r="M367">
        <v>0.1744</v>
      </c>
      <c r="N367">
        <v>98.31</v>
      </c>
      <c r="O367">
        <v>5.7800000000000004E-2</v>
      </c>
      <c r="P367">
        <v>1.85</v>
      </c>
      <c r="Q367">
        <v>0.62</v>
      </c>
      <c r="R367">
        <v>24.49</v>
      </c>
      <c r="S367">
        <v>88.18</v>
      </c>
      <c r="T367">
        <v>101.97</v>
      </c>
      <c r="U367">
        <v>32000</v>
      </c>
      <c r="V367">
        <v>2912000</v>
      </c>
    </row>
    <row r="368" spans="1:22" x14ac:dyDescent="0.25">
      <c r="A368" t="s">
        <v>65</v>
      </c>
      <c r="B368" t="s">
        <v>66</v>
      </c>
      <c r="C368" t="str">
        <f t="shared" si="10"/>
        <v>2023</v>
      </c>
      <c r="D368" t="str">
        <f t="shared" si="11"/>
        <v>07</v>
      </c>
      <c r="E368" t="s">
        <v>62</v>
      </c>
      <c r="F368" t="s">
        <v>110</v>
      </c>
      <c r="G368" t="s">
        <v>111</v>
      </c>
      <c r="H368" t="s">
        <v>107</v>
      </c>
      <c r="I368" t="s">
        <v>26</v>
      </c>
      <c r="J368">
        <v>183</v>
      </c>
      <c r="K368">
        <v>1666.52</v>
      </c>
      <c r="L368">
        <v>283.98</v>
      </c>
      <c r="M368">
        <v>0.1704</v>
      </c>
      <c r="N368">
        <v>153.88999999999999</v>
      </c>
      <c r="O368">
        <v>9.2300000000000007E-2</v>
      </c>
      <c r="P368">
        <v>1.66</v>
      </c>
      <c r="Q368">
        <v>0.18</v>
      </c>
      <c r="R368">
        <v>4.2699999999999996</v>
      </c>
      <c r="S368">
        <v>85.16</v>
      </c>
      <c r="T368">
        <v>97.52</v>
      </c>
      <c r="U368">
        <v>32000</v>
      </c>
      <c r="V368">
        <v>2912000</v>
      </c>
    </row>
    <row r="369" spans="1:22" x14ac:dyDescent="0.25">
      <c r="A369" t="s">
        <v>67</v>
      </c>
      <c r="B369" t="s">
        <v>68</v>
      </c>
      <c r="C369" t="str">
        <f t="shared" si="10"/>
        <v>2023</v>
      </c>
      <c r="D369" t="str">
        <f t="shared" si="11"/>
        <v>10</v>
      </c>
      <c r="E369" t="s">
        <v>69</v>
      </c>
      <c r="F369" t="s">
        <v>110</v>
      </c>
      <c r="G369" t="s">
        <v>111</v>
      </c>
      <c r="H369" t="s">
        <v>107</v>
      </c>
      <c r="I369" t="s">
        <v>26</v>
      </c>
      <c r="J369">
        <v>183</v>
      </c>
      <c r="K369">
        <v>1544.39</v>
      </c>
      <c r="L369">
        <v>261.95999999999998</v>
      </c>
      <c r="M369">
        <v>0.1696</v>
      </c>
      <c r="N369">
        <v>196.91</v>
      </c>
      <c r="O369">
        <v>0.1275</v>
      </c>
      <c r="P369">
        <v>1.74</v>
      </c>
      <c r="Q369">
        <v>7.6999999999999999E-2</v>
      </c>
      <c r="R369">
        <v>0</v>
      </c>
      <c r="S369">
        <v>78.33</v>
      </c>
      <c r="T369">
        <v>89.96</v>
      </c>
      <c r="U369">
        <v>32000</v>
      </c>
      <c r="V369">
        <v>2912000</v>
      </c>
    </row>
    <row r="370" spans="1:22" x14ac:dyDescent="0.25">
      <c r="A370" t="s">
        <v>70</v>
      </c>
      <c r="B370" t="s">
        <v>71</v>
      </c>
      <c r="C370" t="str">
        <f t="shared" si="10"/>
        <v>2024</v>
      </c>
      <c r="D370" t="str">
        <f t="shared" si="11"/>
        <v>01</v>
      </c>
      <c r="E370" t="s">
        <v>69</v>
      </c>
      <c r="F370" t="s">
        <v>110</v>
      </c>
      <c r="G370" t="s">
        <v>111</v>
      </c>
      <c r="H370" t="s">
        <v>107</v>
      </c>
      <c r="I370" t="s">
        <v>26</v>
      </c>
      <c r="J370">
        <v>183</v>
      </c>
      <c r="K370">
        <v>1620.53</v>
      </c>
      <c r="L370">
        <v>288.35000000000002</v>
      </c>
      <c r="M370">
        <v>0.1779</v>
      </c>
      <c r="N370">
        <v>196.31</v>
      </c>
      <c r="O370">
        <v>0.1211</v>
      </c>
      <c r="P370">
        <v>1.64</v>
      </c>
      <c r="Q370">
        <v>0.15</v>
      </c>
      <c r="R370">
        <v>4.33</v>
      </c>
      <c r="S370">
        <v>84.61</v>
      </c>
      <c r="T370">
        <v>99.02</v>
      </c>
      <c r="U370">
        <v>32000</v>
      </c>
      <c r="V370">
        <v>2912000</v>
      </c>
    </row>
    <row r="371" spans="1:22" x14ac:dyDescent="0.25">
      <c r="A371" t="s">
        <v>72</v>
      </c>
      <c r="B371" t="s">
        <v>73</v>
      </c>
      <c r="C371" t="str">
        <f t="shared" si="10"/>
        <v>2024</v>
      </c>
      <c r="D371" t="str">
        <f t="shared" si="11"/>
        <v>04</v>
      </c>
      <c r="E371" t="s">
        <v>69</v>
      </c>
      <c r="F371" t="s">
        <v>110</v>
      </c>
      <c r="G371" t="s">
        <v>111</v>
      </c>
      <c r="H371" t="s">
        <v>107</v>
      </c>
      <c r="I371" t="s">
        <v>26</v>
      </c>
      <c r="J371">
        <v>183</v>
      </c>
      <c r="K371">
        <v>1658.12</v>
      </c>
      <c r="L371">
        <v>296.38</v>
      </c>
      <c r="M371">
        <v>0.1787</v>
      </c>
      <c r="N371">
        <v>90.36</v>
      </c>
      <c r="O371">
        <v>5.45E-2</v>
      </c>
      <c r="P371">
        <v>1.77</v>
      </c>
      <c r="Q371">
        <v>0.63800000000000001</v>
      </c>
      <c r="R371">
        <v>24.75</v>
      </c>
      <c r="S371">
        <v>84.06</v>
      </c>
      <c r="T371">
        <v>101.78</v>
      </c>
      <c r="U371">
        <v>32000</v>
      </c>
      <c r="V371">
        <v>2912000</v>
      </c>
    </row>
    <row r="372" spans="1:22" x14ac:dyDescent="0.25">
      <c r="A372" t="s">
        <v>74</v>
      </c>
      <c r="B372" t="s">
        <v>75</v>
      </c>
      <c r="C372" t="str">
        <f t="shared" si="10"/>
        <v>2024</v>
      </c>
      <c r="D372" t="str">
        <f t="shared" si="11"/>
        <v>07</v>
      </c>
      <c r="E372" t="s">
        <v>69</v>
      </c>
      <c r="F372" t="s">
        <v>110</v>
      </c>
      <c r="G372" t="s">
        <v>111</v>
      </c>
      <c r="H372" t="s">
        <v>107</v>
      </c>
      <c r="I372" t="s">
        <v>26</v>
      </c>
      <c r="J372">
        <v>183</v>
      </c>
      <c r="K372">
        <v>1658.64</v>
      </c>
      <c r="L372">
        <v>273.67</v>
      </c>
      <c r="M372">
        <v>0.16500000000000001</v>
      </c>
      <c r="N372">
        <v>182.7</v>
      </c>
      <c r="O372">
        <v>0.11019999999999999</v>
      </c>
      <c r="P372">
        <v>1.87</v>
      </c>
      <c r="Q372">
        <v>0.13800000000000001</v>
      </c>
      <c r="R372">
        <v>1.67</v>
      </c>
      <c r="S372">
        <v>80.400000000000006</v>
      </c>
      <c r="T372">
        <v>93.98</v>
      </c>
      <c r="U372">
        <v>32000</v>
      </c>
      <c r="V372">
        <v>2912000</v>
      </c>
    </row>
    <row r="373" spans="1:22" x14ac:dyDescent="0.25">
      <c r="A373" t="s">
        <v>76</v>
      </c>
      <c r="B373" t="s">
        <v>77</v>
      </c>
      <c r="C373" t="str">
        <f t="shared" si="10"/>
        <v>2024</v>
      </c>
      <c r="D373" t="str">
        <f t="shared" si="11"/>
        <v>10</v>
      </c>
      <c r="E373" t="s">
        <v>69</v>
      </c>
      <c r="F373" t="s">
        <v>110</v>
      </c>
      <c r="G373" t="s">
        <v>111</v>
      </c>
      <c r="H373" t="s">
        <v>107</v>
      </c>
      <c r="I373" t="s">
        <v>26</v>
      </c>
      <c r="J373">
        <v>183</v>
      </c>
      <c r="K373">
        <v>1722.49</v>
      </c>
      <c r="L373">
        <v>327.66000000000003</v>
      </c>
      <c r="M373">
        <v>0.19020000000000001</v>
      </c>
      <c r="N373">
        <v>89.92</v>
      </c>
      <c r="O373">
        <v>5.2199999999999996E-2</v>
      </c>
      <c r="P373">
        <v>2.04</v>
      </c>
      <c r="Q373">
        <v>0.14000000000000001</v>
      </c>
      <c r="R373">
        <v>11.48</v>
      </c>
      <c r="S373">
        <v>94.78</v>
      </c>
      <c r="T373">
        <v>112.52</v>
      </c>
      <c r="U373">
        <v>32000</v>
      </c>
      <c r="V373">
        <v>2912000</v>
      </c>
    </row>
    <row r="374" spans="1:22" x14ac:dyDescent="0.25">
      <c r="A374" t="s">
        <v>78</v>
      </c>
      <c r="B374" t="s">
        <v>79</v>
      </c>
      <c r="C374" t="str">
        <f t="shared" si="10"/>
        <v>2025</v>
      </c>
      <c r="D374" t="str">
        <f t="shared" si="11"/>
        <v>01</v>
      </c>
      <c r="E374" t="s">
        <v>80</v>
      </c>
      <c r="F374" t="s">
        <v>110</v>
      </c>
      <c r="G374" t="s">
        <v>111</v>
      </c>
      <c r="H374" t="s">
        <v>107</v>
      </c>
      <c r="I374" t="s">
        <v>26</v>
      </c>
      <c r="J374">
        <v>183</v>
      </c>
      <c r="K374">
        <v>1745.44</v>
      </c>
      <c r="L374">
        <v>295.68</v>
      </c>
      <c r="M374">
        <v>0.16940000000000002</v>
      </c>
      <c r="N374">
        <v>209.1</v>
      </c>
      <c r="O374">
        <v>0.1198</v>
      </c>
      <c r="P374">
        <v>1.78</v>
      </c>
      <c r="Q374">
        <v>0.10400000000000001</v>
      </c>
      <c r="R374">
        <v>3.94</v>
      </c>
      <c r="S374">
        <v>85.13</v>
      </c>
      <c r="T374">
        <v>101.54</v>
      </c>
      <c r="U374">
        <v>32000</v>
      </c>
      <c r="V374">
        <v>2912000</v>
      </c>
    </row>
    <row r="375" spans="1:22" x14ac:dyDescent="0.25">
      <c r="A375" t="s">
        <v>81</v>
      </c>
      <c r="B375" t="s">
        <v>82</v>
      </c>
      <c r="C375" t="str">
        <f t="shared" si="10"/>
        <v>2025</v>
      </c>
      <c r="D375" t="str">
        <f t="shared" si="11"/>
        <v>04</v>
      </c>
      <c r="E375" t="s">
        <v>80</v>
      </c>
      <c r="F375" t="s">
        <v>110</v>
      </c>
      <c r="G375" t="s">
        <v>111</v>
      </c>
      <c r="H375" t="s">
        <v>107</v>
      </c>
      <c r="I375" t="s">
        <v>26</v>
      </c>
      <c r="J375">
        <v>183</v>
      </c>
      <c r="K375">
        <v>1561.61</v>
      </c>
      <c r="L375">
        <v>350.69</v>
      </c>
      <c r="M375">
        <v>0.22460000000000002</v>
      </c>
      <c r="N375">
        <v>101.09</v>
      </c>
      <c r="O375">
        <v>6.4699999999999994E-2</v>
      </c>
      <c r="P375">
        <v>1.76</v>
      </c>
      <c r="Q375">
        <v>0.33799999999999997</v>
      </c>
      <c r="R375">
        <v>40.08</v>
      </c>
      <c r="S375">
        <v>101.77</v>
      </c>
      <c r="T375">
        <v>120.43</v>
      </c>
      <c r="U375">
        <v>32000</v>
      </c>
      <c r="V375">
        <v>2912000</v>
      </c>
    </row>
    <row r="376" spans="1:22" x14ac:dyDescent="0.25">
      <c r="A376" t="s">
        <v>83</v>
      </c>
      <c r="B376" t="s">
        <v>84</v>
      </c>
      <c r="C376" t="str">
        <f t="shared" si="10"/>
        <v>2025</v>
      </c>
      <c r="D376" t="str">
        <f t="shared" si="11"/>
        <v>07</v>
      </c>
      <c r="E376" t="s">
        <v>80</v>
      </c>
      <c r="F376" t="s">
        <v>110</v>
      </c>
      <c r="G376" t="s">
        <v>111</v>
      </c>
      <c r="H376" t="s">
        <v>107</v>
      </c>
      <c r="I376" t="s">
        <v>26</v>
      </c>
      <c r="J376">
        <v>183</v>
      </c>
      <c r="K376">
        <v>1673.32</v>
      </c>
      <c r="L376">
        <v>326.77999999999997</v>
      </c>
      <c r="M376">
        <v>0.1953</v>
      </c>
      <c r="N376">
        <v>72.14</v>
      </c>
      <c r="O376">
        <v>4.3099999999999999E-2</v>
      </c>
      <c r="P376">
        <v>1.67</v>
      </c>
      <c r="Q376">
        <v>0.45</v>
      </c>
      <c r="R376">
        <v>36.31</v>
      </c>
      <c r="S376">
        <v>93.24</v>
      </c>
      <c r="T376">
        <v>112.22</v>
      </c>
      <c r="U376">
        <v>32000</v>
      </c>
      <c r="V376">
        <v>2912000</v>
      </c>
    </row>
    <row r="377" spans="1:22" x14ac:dyDescent="0.25">
      <c r="A377" t="s">
        <v>85</v>
      </c>
      <c r="B377" t="s">
        <v>86</v>
      </c>
      <c r="C377" t="str">
        <f t="shared" si="10"/>
        <v>2025</v>
      </c>
      <c r="D377" t="str">
        <f t="shared" si="11"/>
        <v>10</v>
      </c>
      <c r="E377" t="s">
        <v>80</v>
      </c>
      <c r="F377" t="s">
        <v>110</v>
      </c>
      <c r="G377" t="s">
        <v>111</v>
      </c>
      <c r="H377" t="s">
        <v>107</v>
      </c>
      <c r="I377" t="s">
        <v>26</v>
      </c>
      <c r="J377">
        <v>183</v>
      </c>
      <c r="K377">
        <v>1722.87</v>
      </c>
      <c r="L377">
        <v>325.18</v>
      </c>
      <c r="M377">
        <v>0.18870000000000001</v>
      </c>
      <c r="N377">
        <v>130.84</v>
      </c>
      <c r="O377">
        <v>7.5899999999999995E-2</v>
      </c>
      <c r="P377">
        <v>1.76</v>
      </c>
      <c r="Q377">
        <v>0.2</v>
      </c>
      <c r="R377">
        <v>15.66</v>
      </c>
      <c r="S377">
        <v>99.34</v>
      </c>
      <c r="T377">
        <v>111.67</v>
      </c>
      <c r="U377">
        <v>32000</v>
      </c>
      <c r="V377">
        <v>2912000</v>
      </c>
    </row>
    <row r="378" spans="1:22" x14ac:dyDescent="0.25">
      <c r="A378" t="s">
        <v>87</v>
      </c>
      <c r="B378" t="s">
        <v>88</v>
      </c>
      <c r="C378" t="str">
        <f t="shared" si="10"/>
        <v>2026</v>
      </c>
      <c r="D378" t="str">
        <f t="shared" si="11"/>
        <v>01</v>
      </c>
      <c r="E378" t="s">
        <v>89</v>
      </c>
      <c r="F378" t="s">
        <v>110</v>
      </c>
      <c r="G378" t="s">
        <v>111</v>
      </c>
      <c r="H378" t="s">
        <v>107</v>
      </c>
      <c r="I378" t="s">
        <v>26</v>
      </c>
      <c r="J378">
        <v>183</v>
      </c>
      <c r="K378">
        <v>1271.4100000000001</v>
      </c>
      <c r="L378">
        <v>427.48</v>
      </c>
      <c r="M378">
        <v>0.3362</v>
      </c>
      <c r="N378">
        <v>-157.62</v>
      </c>
      <c r="O378">
        <v>-0.124</v>
      </c>
      <c r="P378">
        <v>1.36</v>
      </c>
      <c r="Q378">
        <v>0.58299999999999996</v>
      </c>
      <c r="R378">
        <v>157.29</v>
      </c>
      <c r="S378">
        <v>130.88</v>
      </c>
      <c r="T378">
        <v>146.80000000000001</v>
      </c>
      <c r="U378">
        <v>32000</v>
      </c>
      <c r="V378">
        <v>2912000</v>
      </c>
    </row>
    <row r="379" spans="1:22" x14ac:dyDescent="0.25">
      <c r="A379" t="s">
        <v>20</v>
      </c>
      <c r="B379" t="s">
        <v>21</v>
      </c>
      <c r="C379" t="str">
        <f t="shared" si="10"/>
        <v>2019</v>
      </c>
      <c r="D379" t="str">
        <f t="shared" si="11"/>
        <v>01</v>
      </c>
      <c r="E379" t="s">
        <v>22</v>
      </c>
      <c r="F379" t="s">
        <v>112</v>
      </c>
      <c r="G379" t="s">
        <v>113</v>
      </c>
      <c r="H379" t="s">
        <v>107</v>
      </c>
      <c r="I379" t="s">
        <v>26</v>
      </c>
      <c r="J379">
        <v>169</v>
      </c>
      <c r="K379">
        <v>2956.36</v>
      </c>
      <c r="L379">
        <v>271.47000000000003</v>
      </c>
      <c r="M379">
        <v>9.1799999999999993E-2</v>
      </c>
      <c r="N379">
        <v>171.88</v>
      </c>
      <c r="O379">
        <v>5.8099999999999999E-2</v>
      </c>
      <c r="P379">
        <v>1.56</v>
      </c>
      <c r="Q379">
        <v>0.30199999999999999</v>
      </c>
      <c r="R379">
        <v>0</v>
      </c>
      <c r="S379">
        <v>63</v>
      </c>
      <c r="T379">
        <v>74.58</v>
      </c>
      <c r="U379">
        <v>40000</v>
      </c>
      <c r="V379">
        <v>3640000</v>
      </c>
    </row>
    <row r="380" spans="1:22" x14ac:dyDescent="0.25">
      <c r="A380" t="s">
        <v>27</v>
      </c>
      <c r="B380" t="s">
        <v>28</v>
      </c>
      <c r="C380" t="str">
        <f t="shared" si="10"/>
        <v>2019</v>
      </c>
      <c r="D380" t="str">
        <f t="shared" si="11"/>
        <v>04</v>
      </c>
      <c r="E380" t="s">
        <v>22</v>
      </c>
      <c r="F380" t="s">
        <v>112</v>
      </c>
      <c r="G380" t="s">
        <v>113</v>
      </c>
      <c r="H380" t="s">
        <v>107</v>
      </c>
      <c r="I380" t="s">
        <v>26</v>
      </c>
      <c r="J380">
        <v>169</v>
      </c>
      <c r="K380">
        <v>3102.57</v>
      </c>
      <c r="L380">
        <v>266.95999999999998</v>
      </c>
      <c r="M380">
        <v>8.5999999999999993E-2</v>
      </c>
      <c r="N380">
        <v>393.84</v>
      </c>
      <c r="O380">
        <v>0.12689999999999999</v>
      </c>
      <c r="P380">
        <v>1.62</v>
      </c>
      <c r="Q380">
        <v>2E-3</v>
      </c>
      <c r="R380">
        <v>0</v>
      </c>
      <c r="S380">
        <v>64.790000000000006</v>
      </c>
      <c r="T380">
        <v>73.34</v>
      </c>
      <c r="U380">
        <v>40000</v>
      </c>
      <c r="V380">
        <v>3640000</v>
      </c>
    </row>
    <row r="381" spans="1:22" x14ac:dyDescent="0.25">
      <c r="A381" t="s">
        <v>29</v>
      </c>
      <c r="B381" t="s">
        <v>30</v>
      </c>
      <c r="C381" t="str">
        <f t="shared" si="10"/>
        <v>2019</v>
      </c>
      <c r="D381" t="str">
        <f t="shared" si="11"/>
        <v>07</v>
      </c>
      <c r="E381" t="s">
        <v>22</v>
      </c>
      <c r="F381" t="s">
        <v>112</v>
      </c>
      <c r="G381" t="s">
        <v>113</v>
      </c>
      <c r="H381" t="s">
        <v>107</v>
      </c>
      <c r="I381" t="s">
        <v>26</v>
      </c>
      <c r="J381">
        <v>169</v>
      </c>
      <c r="K381">
        <v>3135.92</v>
      </c>
      <c r="L381">
        <v>258.83999999999997</v>
      </c>
      <c r="M381">
        <v>8.2500000000000004E-2</v>
      </c>
      <c r="N381">
        <v>197</v>
      </c>
      <c r="O381">
        <v>6.2800000000000009E-2</v>
      </c>
      <c r="P381">
        <v>1.85</v>
      </c>
      <c r="Q381">
        <v>0.35799999999999998</v>
      </c>
      <c r="R381">
        <v>0</v>
      </c>
      <c r="S381">
        <v>60.46</v>
      </c>
      <c r="T381">
        <v>71.11</v>
      </c>
      <c r="U381">
        <v>40000</v>
      </c>
      <c r="V381">
        <v>3640000</v>
      </c>
    </row>
    <row r="382" spans="1:22" x14ac:dyDescent="0.25">
      <c r="A382" t="s">
        <v>31</v>
      </c>
      <c r="B382" t="s">
        <v>32</v>
      </c>
      <c r="C382" t="str">
        <f t="shared" si="10"/>
        <v>2019</v>
      </c>
      <c r="D382" t="str">
        <f t="shared" si="11"/>
        <v>10</v>
      </c>
      <c r="E382" t="s">
        <v>22</v>
      </c>
      <c r="F382" t="s">
        <v>112</v>
      </c>
      <c r="G382" t="s">
        <v>113</v>
      </c>
      <c r="H382" t="s">
        <v>107</v>
      </c>
      <c r="I382" t="s">
        <v>26</v>
      </c>
      <c r="J382">
        <v>169</v>
      </c>
      <c r="K382">
        <v>2957.48</v>
      </c>
      <c r="L382">
        <v>280.17</v>
      </c>
      <c r="M382">
        <v>9.4700000000000006E-2</v>
      </c>
      <c r="N382">
        <v>161.69999999999999</v>
      </c>
      <c r="O382">
        <v>5.4699999999999999E-2</v>
      </c>
      <c r="P382">
        <v>1.7</v>
      </c>
      <c r="Q382">
        <v>0.53200000000000003</v>
      </c>
      <c r="R382">
        <v>0</v>
      </c>
      <c r="S382">
        <v>65.66</v>
      </c>
      <c r="T382">
        <v>76.97</v>
      </c>
      <c r="U382">
        <v>40000</v>
      </c>
      <c r="V382">
        <v>3640000</v>
      </c>
    </row>
    <row r="383" spans="1:22" x14ac:dyDescent="0.25">
      <c r="A383" t="s">
        <v>33</v>
      </c>
      <c r="B383" t="s">
        <v>34</v>
      </c>
      <c r="C383" t="str">
        <f t="shared" si="10"/>
        <v>2020</v>
      </c>
      <c r="D383" t="str">
        <f t="shared" si="11"/>
        <v>01</v>
      </c>
      <c r="E383" t="s">
        <v>22</v>
      </c>
      <c r="F383" t="s">
        <v>112</v>
      </c>
      <c r="G383" t="s">
        <v>113</v>
      </c>
      <c r="H383" t="s">
        <v>107</v>
      </c>
      <c r="I383" t="s">
        <v>26</v>
      </c>
      <c r="J383">
        <v>169</v>
      </c>
      <c r="K383">
        <v>2979.33</v>
      </c>
      <c r="L383">
        <v>274.38</v>
      </c>
      <c r="M383">
        <v>9.2100000000000015E-2</v>
      </c>
      <c r="N383">
        <v>252.16</v>
      </c>
      <c r="O383">
        <v>8.4600000000000009E-2</v>
      </c>
      <c r="P383">
        <v>1.74</v>
      </c>
      <c r="Q383">
        <v>0.32500000000000001</v>
      </c>
      <c r="R383">
        <v>0</v>
      </c>
      <c r="S383">
        <v>66.66</v>
      </c>
      <c r="T383">
        <v>75.38</v>
      </c>
      <c r="U383">
        <v>40000</v>
      </c>
      <c r="V383">
        <v>3640000</v>
      </c>
    </row>
    <row r="384" spans="1:22" x14ac:dyDescent="0.25">
      <c r="A384" t="s">
        <v>35</v>
      </c>
      <c r="B384" t="s">
        <v>36</v>
      </c>
      <c r="C384" t="str">
        <f t="shared" si="10"/>
        <v>2020</v>
      </c>
      <c r="D384" t="str">
        <f t="shared" si="11"/>
        <v>04</v>
      </c>
      <c r="E384" t="s">
        <v>37</v>
      </c>
      <c r="F384" t="s">
        <v>112</v>
      </c>
      <c r="G384" t="s">
        <v>113</v>
      </c>
      <c r="H384" t="s">
        <v>107</v>
      </c>
      <c r="I384" t="s">
        <v>26</v>
      </c>
      <c r="J384">
        <v>169</v>
      </c>
      <c r="K384">
        <v>906.01</v>
      </c>
      <c r="L384">
        <v>86.23</v>
      </c>
      <c r="M384">
        <v>9.5199999999999993E-2</v>
      </c>
      <c r="N384">
        <v>-395.45</v>
      </c>
      <c r="O384">
        <v>-0.4365</v>
      </c>
      <c r="P384">
        <v>0.54</v>
      </c>
      <c r="Q384">
        <v>0.17</v>
      </c>
      <c r="R384">
        <v>0</v>
      </c>
      <c r="S384">
        <v>20.57</v>
      </c>
      <c r="T384">
        <v>23.69</v>
      </c>
      <c r="U384">
        <v>40000</v>
      </c>
      <c r="V384">
        <v>3640000</v>
      </c>
    </row>
    <row r="385" spans="1:22" x14ac:dyDescent="0.25">
      <c r="A385" t="s">
        <v>38</v>
      </c>
      <c r="B385" t="s">
        <v>39</v>
      </c>
      <c r="C385" t="str">
        <f t="shared" si="10"/>
        <v>2020</v>
      </c>
      <c r="D385" t="str">
        <f t="shared" si="11"/>
        <v>07</v>
      </c>
      <c r="E385" t="s">
        <v>37</v>
      </c>
      <c r="F385" t="s">
        <v>112</v>
      </c>
      <c r="G385" t="s">
        <v>113</v>
      </c>
      <c r="H385" t="s">
        <v>107</v>
      </c>
      <c r="I385" t="s">
        <v>26</v>
      </c>
      <c r="J385">
        <v>169</v>
      </c>
      <c r="K385">
        <v>542.32000000000005</v>
      </c>
      <c r="L385">
        <v>183.57</v>
      </c>
      <c r="M385">
        <v>0.33850000000000002</v>
      </c>
      <c r="N385">
        <v>-239.67</v>
      </c>
      <c r="O385">
        <v>-0.44189999999999996</v>
      </c>
      <c r="P385">
        <v>0.32</v>
      </c>
      <c r="Q385">
        <v>3.9E-2</v>
      </c>
      <c r="R385">
        <v>0</v>
      </c>
      <c r="S385">
        <v>44.05</v>
      </c>
      <c r="T385">
        <v>50.43</v>
      </c>
      <c r="U385">
        <v>40000</v>
      </c>
      <c r="V385">
        <v>3640000</v>
      </c>
    </row>
    <row r="386" spans="1:22" x14ac:dyDescent="0.25">
      <c r="A386" t="s">
        <v>40</v>
      </c>
      <c r="B386" t="s">
        <v>41</v>
      </c>
      <c r="C386" t="str">
        <f t="shared" si="10"/>
        <v>2020</v>
      </c>
      <c r="D386" t="str">
        <f t="shared" si="11"/>
        <v>10</v>
      </c>
      <c r="E386" t="s">
        <v>37</v>
      </c>
      <c r="F386" t="s">
        <v>112</v>
      </c>
      <c r="G386" t="s">
        <v>113</v>
      </c>
      <c r="H386" t="s">
        <v>107</v>
      </c>
      <c r="I386" t="s">
        <v>26</v>
      </c>
      <c r="J386">
        <v>169</v>
      </c>
      <c r="K386">
        <v>1005.61</v>
      </c>
      <c r="L386">
        <v>166.2</v>
      </c>
      <c r="M386">
        <v>0.1653</v>
      </c>
      <c r="N386">
        <v>-310.52</v>
      </c>
      <c r="O386">
        <v>-0.30879999999999996</v>
      </c>
      <c r="P386">
        <v>0.57999999999999996</v>
      </c>
      <c r="Q386">
        <v>0.47100000000000003</v>
      </c>
      <c r="R386">
        <v>0</v>
      </c>
      <c r="S386">
        <v>39.950000000000003</v>
      </c>
      <c r="T386">
        <v>45.66</v>
      </c>
      <c r="U386">
        <v>40000</v>
      </c>
      <c r="V386">
        <v>3640000</v>
      </c>
    </row>
    <row r="387" spans="1:22" x14ac:dyDescent="0.25">
      <c r="A387" t="s">
        <v>42</v>
      </c>
      <c r="B387" t="s">
        <v>43</v>
      </c>
      <c r="C387" t="str">
        <f t="shared" ref="C387:C450" si="12">LEFT(B387,4)</f>
        <v>2021</v>
      </c>
      <c r="D387" t="str">
        <f t="shared" ref="D387:D450" si="13">RIGHT(B387,2)</f>
        <v>01</v>
      </c>
      <c r="E387" t="s">
        <v>37</v>
      </c>
      <c r="F387" t="s">
        <v>112</v>
      </c>
      <c r="G387" t="s">
        <v>113</v>
      </c>
      <c r="H387" t="s">
        <v>107</v>
      </c>
      <c r="I387" t="s">
        <v>26</v>
      </c>
      <c r="J387">
        <v>169</v>
      </c>
      <c r="K387">
        <v>615.17999999999995</v>
      </c>
      <c r="L387">
        <v>312.2</v>
      </c>
      <c r="M387">
        <v>0.50749999999999995</v>
      </c>
      <c r="N387">
        <v>-152.80000000000001</v>
      </c>
      <c r="O387">
        <v>-0.24840000000000001</v>
      </c>
      <c r="P387">
        <v>0.37</v>
      </c>
      <c r="Q387">
        <v>0.24</v>
      </c>
      <c r="R387">
        <v>0</v>
      </c>
      <c r="S387">
        <v>75.489999999999995</v>
      </c>
      <c r="T387">
        <v>85.77</v>
      </c>
      <c r="U387">
        <v>40000</v>
      </c>
      <c r="V387">
        <v>3640000</v>
      </c>
    </row>
    <row r="388" spans="1:22" x14ac:dyDescent="0.25">
      <c r="A388" t="s">
        <v>44</v>
      </c>
      <c r="B388" t="s">
        <v>45</v>
      </c>
      <c r="C388" t="str">
        <f t="shared" si="12"/>
        <v>2021</v>
      </c>
      <c r="D388" t="str">
        <f t="shared" si="13"/>
        <v>04</v>
      </c>
      <c r="E388" t="s">
        <v>37</v>
      </c>
      <c r="F388" t="s">
        <v>112</v>
      </c>
      <c r="G388" t="s">
        <v>113</v>
      </c>
      <c r="H388" t="s">
        <v>107</v>
      </c>
      <c r="I388" t="s">
        <v>26</v>
      </c>
      <c r="J388">
        <v>169</v>
      </c>
      <c r="K388">
        <v>935.36</v>
      </c>
      <c r="L388">
        <v>330.95</v>
      </c>
      <c r="M388">
        <v>0.3538</v>
      </c>
      <c r="N388">
        <v>-240.38</v>
      </c>
      <c r="O388">
        <v>-0.25700000000000001</v>
      </c>
      <c r="P388">
        <v>0.53</v>
      </c>
      <c r="Q388">
        <v>0.23899999999999999</v>
      </c>
      <c r="R388">
        <v>0.81</v>
      </c>
      <c r="S388">
        <v>76.83</v>
      </c>
      <c r="T388">
        <v>90.92</v>
      </c>
      <c r="U388">
        <v>40000</v>
      </c>
      <c r="V388">
        <v>3640000</v>
      </c>
    </row>
    <row r="389" spans="1:22" x14ac:dyDescent="0.25">
      <c r="A389" t="s">
        <v>46</v>
      </c>
      <c r="B389" t="s">
        <v>47</v>
      </c>
      <c r="C389" t="str">
        <f t="shared" si="12"/>
        <v>2021</v>
      </c>
      <c r="D389" t="str">
        <f t="shared" si="13"/>
        <v>07</v>
      </c>
      <c r="E389" t="s">
        <v>48</v>
      </c>
      <c r="F389" t="s">
        <v>112</v>
      </c>
      <c r="G389" t="s">
        <v>113</v>
      </c>
      <c r="H389" t="s">
        <v>107</v>
      </c>
      <c r="I389" t="s">
        <v>26</v>
      </c>
      <c r="J389">
        <v>169</v>
      </c>
      <c r="K389">
        <v>2162.46</v>
      </c>
      <c r="L389">
        <v>327.31</v>
      </c>
      <c r="M389">
        <v>0.15140000000000001</v>
      </c>
      <c r="N389">
        <v>-21.65</v>
      </c>
      <c r="O389">
        <v>-0.01</v>
      </c>
      <c r="P389">
        <v>1.18</v>
      </c>
      <c r="Q389">
        <v>0.64300000000000002</v>
      </c>
      <c r="R389">
        <v>0</v>
      </c>
      <c r="S389">
        <v>78.97</v>
      </c>
      <c r="T389">
        <v>89.92</v>
      </c>
      <c r="U389">
        <v>40000</v>
      </c>
      <c r="V389">
        <v>3640000</v>
      </c>
    </row>
    <row r="390" spans="1:22" x14ac:dyDescent="0.25">
      <c r="A390" t="s">
        <v>49</v>
      </c>
      <c r="B390" t="s">
        <v>50</v>
      </c>
      <c r="C390" t="str">
        <f t="shared" si="12"/>
        <v>2021</v>
      </c>
      <c r="D390" t="str">
        <f t="shared" si="13"/>
        <v>10</v>
      </c>
      <c r="E390" t="s">
        <v>48</v>
      </c>
      <c r="F390" t="s">
        <v>112</v>
      </c>
      <c r="G390" t="s">
        <v>113</v>
      </c>
      <c r="H390" t="s">
        <v>107</v>
      </c>
      <c r="I390" t="s">
        <v>26</v>
      </c>
      <c r="J390">
        <v>169</v>
      </c>
      <c r="K390">
        <v>2131.91</v>
      </c>
      <c r="L390">
        <v>379.47</v>
      </c>
      <c r="M390">
        <v>0.17800000000000002</v>
      </c>
      <c r="N390">
        <v>77.849999999999994</v>
      </c>
      <c r="O390">
        <v>3.6499999999999998E-2</v>
      </c>
      <c r="P390">
        <v>1.1399999999999999</v>
      </c>
      <c r="Q390">
        <v>0.30299999999999999</v>
      </c>
      <c r="R390">
        <v>18.21</v>
      </c>
      <c r="S390">
        <v>86.82</v>
      </c>
      <c r="T390">
        <v>104.25</v>
      </c>
      <c r="U390">
        <v>40000</v>
      </c>
      <c r="V390">
        <v>3640000</v>
      </c>
    </row>
    <row r="391" spans="1:22" x14ac:dyDescent="0.25">
      <c r="A391" t="s">
        <v>51</v>
      </c>
      <c r="B391" t="s">
        <v>52</v>
      </c>
      <c r="C391" t="str">
        <f t="shared" si="12"/>
        <v>2022</v>
      </c>
      <c r="D391" t="str">
        <f t="shared" si="13"/>
        <v>01</v>
      </c>
      <c r="E391" t="s">
        <v>48</v>
      </c>
      <c r="F391" t="s">
        <v>112</v>
      </c>
      <c r="G391" t="s">
        <v>113</v>
      </c>
      <c r="H391" t="s">
        <v>107</v>
      </c>
      <c r="I391" t="s">
        <v>26</v>
      </c>
      <c r="J391">
        <v>169</v>
      </c>
      <c r="K391">
        <v>1966.93</v>
      </c>
      <c r="L391">
        <v>296.44</v>
      </c>
      <c r="M391">
        <v>0.1507</v>
      </c>
      <c r="N391">
        <v>96.81</v>
      </c>
      <c r="O391">
        <v>4.9200000000000001E-2</v>
      </c>
      <c r="P391">
        <v>1.1299999999999999</v>
      </c>
      <c r="Q391">
        <v>0.22600000000000001</v>
      </c>
      <c r="R391">
        <v>0</v>
      </c>
      <c r="S391">
        <v>72.010000000000005</v>
      </c>
      <c r="T391">
        <v>81.44</v>
      </c>
      <c r="U391">
        <v>40000</v>
      </c>
      <c r="V391">
        <v>3640000</v>
      </c>
    </row>
    <row r="392" spans="1:22" x14ac:dyDescent="0.25">
      <c r="A392" t="s">
        <v>53</v>
      </c>
      <c r="B392" t="s">
        <v>54</v>
      </c>
      <c r="C392" t="str">
        <f t="shared" si="12"/>
        <v>2022</v>
      </c>
      <c r="D392" t="str">
        <f t="shared" si="13"/>
        <v>04</v>
      </c>
      <c r="E392" t="s">
        <v>55</v>
      </c>
      <c r="F392" t="s">
        <v>112</v>
      </c>
      <c r="G392" t="s">
        <v>113</v>
      </c>
      <c r="H392" t="s">
        <v>107</v>
      </c>
      <c r="I392" t="s">
        <v>26</v>
      </c>
      <c r="J392">
        <v>169</v>
      </c>
      <c r="K392">
        <v>2964.66</v>
      </c>
      <c r="L392">
        <v>479.13</v>
      </c>
      <c r="M392">
        <v>0.16159999999999999</v>
      </c>
      <c r="N392">
        <v>266.16000000000003</v>
      </c>
      <c r="O392">
        <v>8.9800000000000005E-2</v>
      </c>
      <c r="P392">
        <v>1.5</v>
      </c>
      <c r="Q392">
        <v>0.60499999999999998</v>
      </c>
      <c r="R392">
        <v>134.08000000000001</v>
      </c>
      <c r="S392">
        <v>109.53</v>
      </c>
      <c r="T392">
        <v>131.63</v>
      </c>
      <c r="U392">
        <v>40000</v>
      </c>
      <c r="V392">
        <v>3640000</v>
      </c>
    </row>
    <row r="393" spans="1:22" x14ac:dyDescent="0.25">
      <c r="A393" t="s">
        <v>56</v>
      </c>
      <c r="B393" t="s">
        <v>57</v>
      </c>
      <c r="C393" t="str">
        <f t="shared" si="12"/>
        <v>2022</v>
      </c>
      <c r="D393" t="str">
        <f t="shared" si="13"/>
        <v>07</v>
      </c>
      <c r="E393" t="s">
        <v>55</v>
      </c>
      <c r="F393" t="s">
        <v>112</v>
      </c>
      <c r="G393" t="s">
        <v>113</v>
      </c>
      <c r="H393" t="s">
        <v>107</v>
      </c>
      <c r="I393" t="s">
        <v>26</v>
      </c>
      <c r="J393">
        <v>169</v>
      </c>
      <c r="K393">
        <v>2932.77</v>
      </c>
      <c r="L393">
        <v>343.94</v>
      </c>
      <c r="M393">
        <v>0.1173</v>
      </c>
      <c r="N393">
        <v>260.35000000000002</v>
      </c>
      <c r="O393">
        <v>8.8800000000000004E-2</v>
      </c>
      <c r="P393">
        <v>1.75</v>
      </c>
      <c r="Q393">
        <v>3.7999999999999999E-2</v>
      </c>
      <c r="R393">
        <v>0.65</v>
      </c>
      <c r="S393">
        <v>80.69</v>
      </c>
      <c r="T393">
        <v>94.49</v>
      </c>
      <c r="U393">
        <v>40000</v>
      </c>
      <c r="V393">
        <v>3640000</v>
      </c>
    </row>
    <row r="394" spans="1:22" x14ac:dyDescent="0.25">
      <c r="A394" t="s">
        <v>58</v>
      </c>
      <c r="B394" t="s">
        <v>59</v>
      </c>
      <c r="C394" t="str">
        <f t="shared" si="12"/>
        <v>2022</v>
      </c>
      <c r="D394" t="str">
        <f t="shared" si="13"/>
        <v>10</v>
      </c>
      <c r="E394" t="s">
        <v>55</v>
      </c>
      <c r="F394" t="s">
        <v>112</v>
      </c>
      <c r="G394" t="s">
        <v>113</v>
      </c>
      <c r="H394" t="s">
        <v>107</v>
      </c>
      <c r="I394" t="s">
        <v>26</v>
      </c>
      <c r="J394">
        <v>169</v>
      </c>
      <c r="K394">
        <v>3116.14</v>
      </c>
      <c r="L394">
        <v>384.24</v>
      </c>
      <c r="M394">
        <v>0.12330000000000001</v>
      </c>
      <c r="N394">
        <v>245.02</v>
      </c>
      <c r="O394">
        <v>7.8600000000000003E-2</v>
      </c>
      <c r="P394">
        <v>1.57</v>
      </c>
      <c r="Q394">
        <v>0.61099999999999999</v>
      </c>
      <c r="R394">
        <v>40.590000000000003</v>
      </c>
      <c r="S394">
        <v>93.25</v>
      </c>
      <c r="T394">
        <v>105.56</v>
      </c>
      <c r="U394">
        <v>40000</v>
      </c>
      <c r="V394">
        <v>3640000</v>
      </c>
    </row>
    <row r="395" spans="1:22" x14ac:dyDescent="0.25">
      <c r="A395" t="s">
        <v>60</v>
      </c>
      <c r="B395" t="s">
        <v>61</v>
      </c>
      <c r="C395" t="str">
        <f t="shared" si="12"/>
        <v>2023</v>
      </c>
      <c r="D395" t="str">
        <f t="shared" si="13"/>
        <v>01</v>
      </c>
      <c r="E395" t="s">
        <v>62</v>
      </c>
      <c r="F395" t="s">
        <v>112</v>
      </c>
      <c r="G395" t="s">
        <v>113</v>
      </c>
      <c r="H395" t="s">
        <v>107</v>
      </c>
      <c r="I395" t="s">
        <v>26</v>
      </c>
      <c r="J395">
        <v>169</v>
      </c>
      <c r="K395">
        <v>3045.85</v>
      </c>
      <c r="L395">
        <v>353.55</v>
      </c>
      <c r="M395">
        <v>0.11609999999999999</v>
      </c>
      <c r="N395">
        <v>172.86</v>
      </c>
      <c r="O395">
        <v>5.6799999999999996E-2</v>
      </c>
      <c r="P395">
        <v>1.57</v>
      </c>
      <c r="Q395">
        <v>0.36499999999999999</v>
      </c>
      <c r="R395">
        <v>10.220000000000001</v>
      </c>
      <c r="S395">
        <v>84.29</v>
      </c>
      <c r="T395">
        <v>97.13</v>
      </c>
      <c r="U395">
        <v>40000</v>
      </c>
      <c r="V395">
        <v>3640000</v>
      </c>
    </row>
    <row r="396" spans="1:22" x14ac:dyDescent="0.25">
      <c r="A396" t="s">
        <v>63</v>
      </c>
      <c r="B396" t="s">
        <v>64</v>
      </c>
      <c r="C396" t="str">
        <f t="shared" si="12"/>
        <v>2023</v>
      </c>
      <c r="D396" t="str">
        <f t="shared" si="13"/>
        <v>04</v>
      </c>
      <c r="E396" t="s">
        <v>62</v>
      </c>
      <c r="F396" t="s">
        <v>112</v>
      </c>
      <c r="G396" t="s">
        <v>113</v>
      </c>
      <c r="H396" t="s">
        <v>107</v>
      </c>
      <c r="I396" t="s">
        <v>26</v>
      </c>
      <c r="J396">
        <v>169</v>
      </c>
      <c r="K396">
        <v>2825.06</v>
      </c>
      <c r="L396">
        <v>371.17</v>
      </c>
      <c r="M396">
        <v>0.13140000000000002</v>
      </c>
      <c r="N396">
        <v>159.44999999999999</v>
      </c>
      <c r="O396">
        <v>5.6399999999999999E-2</v>
      </c>
      <c r="P396">
        <v>1.71</v>
      </c>
      <c r="Q396">
        <v>0.48399999999999999</v>
      </c>
      <c r="R396">
        <v>23.89</v>
      </c>
      <c r="S396">
        <v>88.18</v>
      </c>
      <c r="T396">
        <v>101.97</v>
      </c>
      <c r="U396">
        <v>40000</v>
      </c>
      <c r="V396">
        <v>3640000</v>
      </c>
    </row>
    <row r="397" spans="1:22" x14ac:dyDescent="0.25">
      <c r="A397" t="s">
        <v>65</v>
      </c>
      <c r="B397" t="s">
        <v>66</v>
      </c>
      <c r="C397" t="str">
        <f t="shared" si="12"/>
        <v>2023</v>
      </c>
      <c r="D397" t="str">
        <f t="shared" si="13"/>
        <v>07</v>
      </c>
      <c r="E397" t="s">
        <v>62</v>
      </c>
      <c r="F397" t="s">
        <v>112</v>
      </c>
      <c r="G397" t="s">
        <v>113</v>
      </c>
      <c r="H397" t="s">
        <v>107</v>
      </c>
      <c r="I397" t="s">
        <v>26</v>
      </c>
      <c r="J397">
        <v>169</v>
      </c>
      <c r="K397">
        <v>3037.77</v>
      </c>
      <c r="L397">
        <v>354.97</v>
      </c>
      <c r="M397">
        <v>0.11689999999999999</v>
      </c>
      <c r="N397">
        <v>184.95</v>
      </c>
      <c r="O397">
        <v>6.0899999999999996E-2</v>
      </c>
      <c r="P397">
        <v>1.59</v>
      </c>
      <c r="Q397">
        <v>0.28999999999999998</v>
      </c>
      <c r="R397">
        <v>8.6</v>
      </c>
      <c r="S397">
        <v>85.16</v>
      </c>
      <c r="T397">
        <v>97.52</v>
      </c>
      <c r="U397">
        <v>40000</v>
      </c>
      <c r="V397">
        <v>3640000</v>
      </c>
    </row>
    <row r="398" spans="1:22" x14ac:dyDescent="0.25">
      <c r="A398" t="s">
        <v>67</v>
      </c>
      <c r="B398" t="s">
        <v>68</v>
      </c>
      <c r="C398" t="str">
        <f t="shared" si="12"/>
        <v>2023</v>
      </c>
      <c r="D398" t="str">
        <f t="shared" si="13"/>
        <v>10</v>
      </c>
      <c r="E398" t="s">
        <v>69</v>
      </c>
      <c r="F398" t="s">
        <v>112</v>
      </c>
      <c r="G398" t="s">
        <v>113</v>
      </c>
      <c r="H398" t="s">
        <v>107</v>
      </c>
      <c r="I398" t="s">
        <v>26</v>
      </c>
      <c r="J398">
        <v>169</v>
      </c>
      <c r="K398">
        <v>3091.68</v>
      </c>
      <c r="L398">
        <v>327.45</v>
      </c>
      <c r="M398">
        <v>0.10589999999999999</v>
      </c>
      <c r="N398">
        <v>124.88</v>
      </c>
      <c r="O398">
        <v>4.0399999999999998E-2</v>
      </c>
      <c r="P398">
        <v>1.56</v>
      </c>
      <c r="Q398">
        <v>0.56600000000000006</v>
      </c>
      <c r="R398">
        <v>0</v>
      </c>
      <c r="S398">
        <v>78.33</v>
      </c>
      <c r="T398">
        <v>89.96</v>
      </c>
      <c r="U398">
        <v>40000</v>
      </c>
      <c r="V398">
        <v>3640000</v>
      </c>
    </row>
    <row r="399" spans="1:22" x14ac:dyDescent="0.25">
      <c r="A399" t="s">
        <v>70</v>
      </c>
      <c r="B399" t="s">
        <v>71</v>
      </c>
      <c r="C399" t="str">
        <f t="shared" si="12"/>
        <v>2024</v>
      </c>
      <c r="D399" t="str">
        <f t="shared" si="13"/>
        <v>01</v>
      </c>
      <c r="E399" t="s">
        <v>69</v>
      </c>
      <c r="F399" t="s">
        <v>112</v>
      </c>
      <c r="G399" t="s">
        <v>113</v>
      </c>
      <c r="H399" t="s">
        <v>107</v>
      </c>
      <c r="I399" t="s">
        <v>26</v>
      </c>
      <c r="J399">
        <v>169</v>
      </c>
      <c r="K399">
        <v>3114.69</v>
      </c>
      <c r="L399">
        <v>360.43</v>
      </c>
      <c r="M399">
        <v>0.1157</v>
      </c>
      <c r="N399">
        <v>340.96</v>
      </c>
      <c r="O399">
        <v>0.10949999999999999</v>
      </c>
      <c r="P399">
        <v>1.73</v>
      </c>
      <c r="Q399">
        <v>9.4E-2</v>
      </c>
      <c r="R399">
        <v>3.4</v>
      </c>
      <c r="S399">
        <v>84.61</v>
      </c>
      <c r="T399">
        <v>99.02</v>
      </c>
      <c r="U399">
        <v>40000</v>
      </c>
      <c r="V399">
        <v>3640000</v>
      </c>
    </row>
    <row r="400" spans="1:22" x14ac:dyDescent="0.25">
      <c r="A400" t="s">
        <v>72</v>
      </c>
      <c r="B400" t="s">
        <v>73</v>
      </c>
      <c r="C400" t="str">
        <f t="shared" si="12"/>
        <v>2024</v>
      </c>
      <c r="D400" t="str">
        <f t="shared" si="13"/>
        <v>04</v>
      </c>
      <c r="E400" t="s">
        <v>69</v>
      </c>
      <c r="F400" t="s">
        <v>112</v>
      </c>
      <c r="G400" t="s">
        <v>113</v>
      </c>
      <c r="H400" t="s">
        <v>107</v>
      </c>
      <c r="I400" t="s">
        <v>26</v>
      </c>
      <c r="J400">
        <v>169</v>
      </c>
      <c r="K400">
        <v>2841.71</v>
      </c>
      <c r="L400">
        <v>370.48</v>
      </c>
      <c r="M400">
        <v>0.13039999999999999</v>
      </c>
      <c r="N400">
        <v>370.95</v>
      </c>
      <c r="O400">
        <v>0.1305</v>
      </c>
      <c r="P400">
        <v>1.54</v>
      </c>
      <c r="Q400">
        <v>0.45200000000000001</v>
      </c>
      <c r="R400">
        <v>21.92</v>
      </c>
      <c r="S400">
        <v>84.06</v>
      </c>
      <c r="T400">
        <v>101.78</v>
      </c>
      <c r="U400">
        <v>40000</v>
      </c>
      <c r="V400">
        <v>3640000</v>
      </c>
    </row>
    <row r="401" spans="1:22" x14ac:dyDescent="0.25">
      <c r="A401" t="s">
        <v>74</v>
      </c>
      <c r="B401" t="s">
        <v>75</v>
      </c>
      <c r="C401" t="str">
        <f t="shared" si="12"/>
        <v>2024</v>
      </c>
      <c r="D401" t="str">
        <f t="shared" si="13"/>
        <v>07</v>
      </c>
      <c r="E401" t="s">
        <v>69</v>
      </c>
      <c r="F401" t="s">
        <v>112</v>
      </c>
      <c r="G401" t="s">
        <v>113</v>
      </c>
      <c r="H401" t="s">
        <v>107</v>
      </c>
      <c r="I401" t="s">
        <v>26</v>
      </c>
      <c r="J401">
        <v>169</v>
      </c>
      <c r="K401">
        <v>2977.45</v>
      </c>
      <c r="L401">
        <v>342.09</v>
      </c>
      <c r="M401">
        <v>0.1149</v>
      </c>
      <c r="N401">
        <v>336.73</v>
      </c>
      <c r="O401">
        <v>0.11310000000000001</v>
      </c>
      <c r="P401">
        <v>1.55</v>
      </c>
      <c r="Q401">
        <v>0.315</v>
      </c>
      <c r="R401">
        <v>4.7699999999999996</v>
      </c>
      <c r="S401">
        <v>80.400000000000006</v>
      </c>
      <c r="T401">
        <v>93.98</v>
      </c>
      <c r="U401">
        <v>40000</v>
      </c>
      <c r="V401">
        <v>3640000</v>
      </c>
    </row>
    <row r="402" spans="1:22" x14ac:dyDescent="0.25">
      <c r="A402" t="s">
        <v>76</v>
      </c>
      <c r="B402" t="s">
        <v>77</v>
      </c>
      <c r="C402" t="str">
        <f t="shared" si="12"/>
        <v>2024</v>
      </c>
      <c r="D402" t="str">
        <f t="shared" si="13"/>
        <v>10</v>
      </c>
      <c r="E402" t="s">
        <v>69</v>
      </c>
      <c r="F402" t="s">
        <v>112</v>
      </c>
      <c r="G402" t="s">
        <v>113</v>
      </c>
      <c r="H402" t="s">
        <v>107</v>
      </c>
      <c r="I402" t="s">
        <v>26</v>
      </c>
      <c r="J402">
        <v>169</v>
      </c>
      <c r="K402">
        <v>2947.03</v>
      </c>
      <c r="L402">
        <v>409.57</v>
      </c>
      <c r="M402">
        <v>0.13900000000000001</v>
      </c>
      <c r="N402">
        <v>190.1</v>
      </c>
      <c r="O402">
        <v>6.4500000000000002E-2</v>
      </c>
      <c r="P402">
        <v>1.67</v>
      </c>
      <c r="Q402">
        <v>0.34899999999999998</v>
      </c>
      <c r="R402">
        <v>35.770000000000003</v>
      </c>
      <c r="S402">
        <v>94.78</v>
      </c>
      <c r="T402">
        <v>112.52</v>
      </c>
      <c r="U402">
        <v>40000</v>
      </c>
      <c r="V402">
        <v>3640000</v>
      </c>
    </row>
    <row r="403" spans="1:22" x14ac:dyDescent="0.25">
      <c r="A403" t="s">
        <v>78</v>
      </c>
      <c r="B403" t="s">
        <v>79</v>
      </c>
      <c r="C403" t="str">
        <f t="shared" si="12"/>
        <v>2025</v>
      </c>
      <c r="D403" t="str">
        <f t="shared" si="13"/>
        <v>01</v>
      </c>
      <c r="E403" t="s">
        <v>80</v>
      </c>
      <c r="F403" t="s">
        <v>112</v>
      </c>
      <c r="G403" t="s">
        <v>113</v>
      </c>
      <c r="H403" t="s">
        <v>107</v>
      </c>
      <c r="I403" t="s">
        <v>26</v>
      </c>
      <c r="J403">
        <v>169</v>
      </c>
      <c r="K403">
        <v>2992.6</v>
      </c>
      <c r="L403">
        <v>369.61</v>
      </c>
      <c r="M403">
        <v>0.1235</v>
      </c>
      <c r="N403">
        <v>296.60000000000002</v>
      </c>
      <c r="O403">
        <v>9.9100000000000008E-2</v>
      </c>
      <c r="P403">
        <v>1.54</v>
      </c>
      <c r="Q403">
        <v>0.24100000000000002</v>
      </c>
      <c r="R403">
        <v>11.42</v>
      </c>
      <c r="S403">
        <v>85.13</v>
      </c>
      <c r="T403">
        <v>101.54</v>
      </c>
      <c r="U403">
        <v>40000</v>
      </c>
      <c r="V403">
        <v>3640000</v>
      </c>
    </row>
    <row r="404" spans="1:22" x14ac:dyDescent="0.25">
      <c r="A404" t="s">
        <v>81</v>
      </c>
      <c r="B404" t="s">
        <v>82</v>
      </c>
      <c r="C404" t="str">
        <f t="shared" si="12"/>
        <v>2025</v>
      </c>
      <c r="D404" t="str">
        <f t="shared" si="13"/>
        <v>04</v>
      </c>
      <c r="E404" t="s">
        <v>80</v>
      </c>
      <c r="F404" t="s">
        <v>112</v>
      </c>
      <c r="G404" t="s">
        <v>113</v>
      </c>
      <c r="H404" t="s">
        <v>107</v>
      </c>
      <c r="I404" t="s">
        <v>26</v>
      </c>
      <c r="J404">
        <v>169</v>
      </c>
      <c r="K404">
        <v>2927.01</v>
      </c>
      <c r="L404">
        <v>438.37</v>
      </c>
      <c r="M404">
        <v>0.14980000000000002</v>
      </c>
      <c r="N404">
        <v>342.22</v>
      </c>
      <c r="O404">
        <v>0.11689999999999999</v>
      </c>
      <c r="P404">
        <v>1.48</v>
      </c>
      <c r="Q404">
        <v>0.183</v>
      </c>
      <c r="R404">
        <v>27.12</v>
      </c>
      <c r="S404">
        <v>101.77</v>
      </c>
      <c r="T404">
        <v>120.43</v>
      </c>
      <c r="U404">
        <v>40000</v>
      </c>
      <c r="V404">
        <v>3640000</v>
      </c>
    </row>
    <row r="405" spans="1:22" x14ac:dyDescent="0.25">
      <c r="A405" t="s">
        <v>83</v>
      </c>
      <c r="B405" t="s">
        <v>84</v>
      </c>
      <c r="C405" t="str">
        <f t="shared" si="12"/>
        <v>2025</v>
      </c>
      <c r="D405" t="str">
        <f t="shared" si="13"/>
        <v>07</v>
      </c>
      <c r="E405" t="s">
        <v>80</v>
      </c>
      <c r="F405" t="s">
        <v>112</v>
      </c>
      <c r="G405" t="s">
        <v>113</v>
      </c>
      <c r="H405" t="s">
        <v>107</v>
      </c>
      <c r="I405" t="s">
        <v>26</v>
      </c>
      <c r="J405">
        <v>169</v>
      </c>
      <c r="K405">
        <v>3154.67</v>
      </c>
      <c r="L405">
        <v>408.48</v>
      </c>
      <c r="M405">
        <v>0.1295</v>
      </c>
      <c r="N405">
        <v>220.94</v>
      </c>
      <c r="O405">
        <v>7.0000000000000007E-2</v>
      </c>
      <c r="P405">
        <v>1.63</v>
      </c>
      <c r="Q405">
        <v>0.49200000000000005</v>
      </c>
      <c r="R405">
        <v>49.62</v>
      </c>
      <c r="S405">
        <v>93.24</v>
      </c>
      <c r="T405">
        <v>112.22</v>
      </c>
      <c r="U405">
        <v>40000</v>
      </c>
      <c r="V405">
        <v>3640000</v>
      </c>
    </row>
    <row r="406" spans="1:22" x14ac:dyDescent="0.25">
      <c r="A406" t="s">
        <v>85</v>
      </c>
      <c r="B406" t="s">
        <v>86</v>
      </c>
      <c r="C406" t="str">
        <f t="shared" si="12"/>
        <v>2025</v>
      </c>
      <c r="D406" t="str">
        <f t="shared" si="13"/>
        <v>10</v>
      </c>
      <c r="E406" t="s">
        <v>80</v>
      </c>
      <c r="F406" t="s">
        <v>112</v>
      </c>
      <c r="G406" t="s">
        <v>113</v>
      </c>
      <c r="H406" t="s">
        <v>107</v>
      </c>
      <c r="I406" t="s">
        <v>26</v>
      </c>
      <c r="J406">
        <v>169</v>
      </c>
      <c r="K406">
        <v>2820.85</v>
      </c>
      <c r="L406">
        <v>406.48</v>
      </c>
      <c r="M406">
        <v>0.14410000000000001</v>
      </c>
      <c r="N406">
        <v>233.09</v>
      </c>
      <c r="O406">
        <v>8.2599999999999993E-2</v>
      </c>
      <c r="P406">
        <v>1.68</v>
      </c>
      <c r="Q406">
        <v>0.62</v>
      </c>
      <c r="R406">
        <v>60.68</v>
      </c>
      <c r="S406">
        <v>99.34</v>
      </c>
      <c r="T406">
        <v>111.67</v>
      </c>
      <c r="U406">
        <v>40000</v>
      </c>
      <c r="V406">
        <v>3640000</v>
      </c>
    </row>
    <row r="407" spans="1:22" x14ac:dyDescent="0.25">
      <c r="A407" t="s">
        <v>87</v>
      </c>
      <c r="B407" t="s">
        <v>88</v>
      </c>
      <c r="C407" t="str">
        <f t="shared" si="12"/>
        <v>2026</v>
      </c>
      <c r="D407" t="str">
        <f t="shared" si="13"/>
        <v>01</v>
      </c>
      <c r="E407" t="s">
        <v>89</v>
      </c>
      <c r="F407" t="s">
        <v>112</v>
      </c>
      <c r="G407" t="s">
        <v>113</v>
      </c>
      <c r="H407" t="s">
        <v>107</v>
      </c>
      <c r="I407" t="s">
        <v>26</v>
      </c>
      <c r="J407">
        <v>169</v>
      </c>
      <c r="K407">
        <v>2211.92</v>
      </c>
      <c r="L407">
        <v>534.35</v>
      </c>
      <c r="M407">
        <v>0.24160000000000001</v>
      </c>
      <c r="N407">
        <v>-421.95</v>
      </c>
      <c r="O407">
        <v>-0.19079999999999997</v>
      </c>
      <c r="P407">
        <v>1.25</v>
      </c>
      <c r="Q407">
        <v>0.14699999999999999</v>
      </c>
      <c r="R407">
        <v>49.57</v>
      </c>
      <c r="S407">
        <v>130.88</v>
      </c>
      <c r="T407">
        <v>146.80000000000001</v>
      </c>
      <c r="U407">
        <v>40000</v>
      </c>
      <c r="V407">
        <v>3640000</v>
      </c>
    </row>
    <row r="408" spans="1:22" x14ac:dyDescent="0.25">
      <c r="A408" t="s">
        <v>20</v>
      </c>
      <c r="B408" t="s">
        <v>21</v>
      </c>
      <c r="C408" t="str">
        <f t="shared" si="12"/>
        <v>2019</v>
      </c>
      <c r="D408" t="str">
        <f t="shared" si="13"/>
        <v>01</v>
      </c>
      <c r="E408" t="s">
        <v>22</v>
      </c>
      <c r="F408" t="s">
        <v>114</v>
      </c>
      <c r="G408" t="s">
        <v>115</v>
      </c>
      <c r="H408" t="s">
        <v>107</v>
      </c>
      <c r="I408" t="s">
        <v>26</v>
      </c>
      <c r="J408">
        <v>165</v>
      </c>
      <c r="K408">
        <v>2981.51</v>
      </c>
      <c r="L408">
        <v>285.04000000000002</v>
      </c>
      <c r="M408">
        <v>9.5600000000000004E-2</v>
      </c>
      <c r="N408">
        <v>246.27</v>
      </c>
      <c r="O408">
        <v>8.2599999999999993E-2</v>
      </c>
      <c r="P408">
        <v>1.42</v>
      </c>
      <c r="Q408">
        <v>0.58099999999999996</v>
      </c>
      <c r="R408">
        <v>0</v>
      </c>
      <c r="S408">
        <v>63</v>
      </c>
      <c r="T408">
        <v>74.58</v>
      </c>
      <c r="U408">
        <v>42000</v>
      </c>
      <c r="V408">
        <v>3822000</v>
      </c>
    </row>
    <row r="409" spans="1:22" x14ac:dyDescent="0.25">
      <c r="A409" t="s">
        <v>27</v>
      </c>
      <c r="B409" t="s">
        <v>28</v>
      </c>
      <c r="C409" t="str">
        <f t="shared" si="12"/>
        <v>2019</v>
      </c>
      <c r="D409" t="str">
        <f t="shared" si="13"/>
        <v>04</v>
      </c>
      <c r="E409" t="s">
        <v>22</v>
      </c>
      <c r="F409" t="s">
        <v>114</v>
      </c>
      <c r="G409" t="s">
        <v>115</v>
      </c>
      <c r="H409" t="s">
        <v>107</v>
      </c>
      <c r="I409" t="s">
        <v>26</v>
      </c>
      <c r="J409">
        <v>165</v>
      </c>
      <c r="K409">
        <v>3054.85</v>
      </c>
      <c r="L409">
        <v>280.31</v>
      </c>
      <c r="M409">
        <v>9.1799999999999993E-2</v>
      </c>
      <c r="N409">
        <v>224.92</v>
      </c>
      <c r="O409">
        <v>7.3599999999999999E-2</v>
      </c>
      <c r="P409">
        <v>1.68</v>
      </c>
      <c r="Q409">
        <v>0.222</v>
      </c>
      <c r="R409">
        <v>0</v>
      </c>
      <c r="S409">
        <v>64.790000000000006</v>
      </c>
      <c r="T409">
        <v>73.34</v>
      </c>
      <c r="U409">
        <v>42000</v>
      </c>
      <c r="V409">
        <v>3822000</v>
      </c>
    </row>
    <row r="410" spans="1:22" x14ac:dyDescent="0.25">
      <c r="A410" t="s">
        <v>29</v>
      </c>
      <c r="B410" t="s">
        <v>30</v>
      </c>
      <c r="C410" t="str">
        <f t="shared" si="12"/>
        <v>2019</v>
      </c>
      <c r="D410" t="str">
        <f t="shared" si="13"/>
        <v>07</v>
      </c>
      <c r="E410" t="s">
        <v>22</v>
      </c>
      <c r="F410" t="s">
        <v>114</v>
      </c>
      <c r="G410" t="s">
        <v>115</v>
      </c>
      <c r="H410" t="s">
        <v>107</v>
      </c>
      <c r="I410" t="s">
        <v>26</v>
      </c>
      <c r="J410">
        <v>165</v>
      </c>
      <c r="K410">
        <v>3225.42</v>
      </c>
      <c r="L410">
        <v>271.77999999999997</v>
      </c>
      <c r="M410">
        <v>8.43E-2</v>
      </c>
      <c r="N410">
        <v>187.48</v>
      </c>
      <c r="O410">
        <v>5.8099999999999999E-2</v>
      </c>
      <c r="P410">
        <v>1.69</v>
      </c>
      <c r="Q410">
        <v>0.5</v>
      </c>
      <c r="R410">
        <v>0</v>
      </c>
      <c r="S410">
        <v>60.46</v>
      </c>
      <c r="T410">
        <v>71.11</v>
      </c>
      <c r="U410">
        <v>42000</v>
      </c>
      <c r="V410">
        <v>3822000</v>
      </c>
    </row>
    <row r="411" spans="1:22" x14ac:dyDescent="0.25">
      <c r="A411" t="s">
        <v>31</v>
      </c>
      <c r="B411" t="s">
        <v>32</v>
      </c>
      <c r="C411" t="str">
        <f t="shared" si="12"/>
        <v>2019</v>
      </c>
      <c r="D411" t="str">
        <f t="shared" si="13"/>
        <v>10</v>
      </c>
      <c r="E411" t="s">
        <v>22</v>
      </c>
      <c r="F411" t="s">
        <v>114</v>
      </c>
      <c r="G411" t="s">
        <v>115</v>
      </c>
      <c r="H411" t="s">
        <v>107</v>
      </c>
      <c r="I411" t="s">
        <v>26</v>
      </c>
      <c r="J411">
        <v>165</v>
      </c>
      <c r="K411">
        <v>3101.1</v>
      </c>
      <c r="L411">
        <v>294.18</v>
      </c>
      <c r="M411">
        <v>9.4899999999999998E-2</v>
      </c>
      <c r="N411">
        <v>146.31</v>
      </c>
      <c r="O411">
        <v>4.7199999999999999E-2</v>
      </c>
      <c r="P411">
        <v>1.69</v>
      </c>
      <c r="Q411">
        <v>0.32100000000000001</v>
      </c>
      <c r="R411">
        <v>0</v>
      </c>
      <c r="S411">
        <v>65.66</v>
      </c>
      <c r="T411">
        <v>76.97</v>
      </c>
      <c r="U411">
        <v>42000</v>
      </c>
      <c r="V411">
        <v>3822000</v>
      </c>
    </row>
    <row r="412" spans="1:22" x14ac:dyDescent="0.25">
      <c r="A412" t="s">
        <v>33</v>
      </c>
      <c r="B412" t="s">
        <v>34</v>
      </c>
      <c r="C412" t="str">
        <f t="shared" si="12"/>
        <v>2020</v>
      </c>
      <c r="D412" t="str">
        <f t="shared" si="13"/>
        <v>01</v>
      </c>
      <c r="E412" t="s">
        <v>22</v>
      </c>
      <c r="F412" t="s">
        <v>114</v>
      </c>
      <c r="G412" t="s">
        <v>115</v>
      </c>
      <c r="H412" t="s">
        <v>107</v>
      </c>
      <c r="I412" t="s">
        <v>26</v>
      </c>
      <c r="J412">
        <v>165</v>
      </c>
      <c r="K412">
        <v>3047.74</v>
      </c>
      <c r="L412">
        <v>288.10000000000002</v>
      </c>
      <c r="M412">
        <v>9.4499999999999987E-2</v>
      </c>
      <c r="N412">
        <v>424.49</v>
      </c>
      <c r="O412">
        <v>0.13930000000000001</v>
      </c>
      <c r="P412">
        <v>1.71</v>
      </c>
      <c r="Q412">
        <v>2.5000000000000001E-2</v>
      </c>
      <c r="R412">
        <v>0</v>
      </c>
      <c r="S412">
        <v>66.66</v>
      </c>
      <c r="T412">
        <v>75.38</v>
      </c>
      <c r="U412">
        <v>42000</v>
      </c>
      <c r="V412">
        <v>3822000</v>
      </c>
    </row>
    <row r="413" spans="1:22" x14ac:dyDescent="0.25">
      <c r="A413" t="s">
        <v>35</v>
      </c>
      <c r="B413" t="s">
        <v>36</v>
      </c>
      <c r="C413" t="str">
        <f t="shared" si="12"/>
        <v>2020</v>
      </c>
      <c r="D413" t="str">
        <f t="shared" si="13"/>
        <v>04</v>
      </c>
      <c r="E413" t="s">
        <v>37</v>
      </c>
      <c r="F413" t="s">
        <v>114</v>
      </c>
      <c r="G413" t="s">
        <v>115</v>
      </c>
      <c r="H413" t="s">
        <v>107</v>
      </c>
      <c r="I413" t="s">
        <v>26</v>
      </c>
      <c r="J413">
        <v>165</v>
      </c>
      <c r="K413">
        <v>826.35</v>
      </c>
      <c r="L413">
        <v>90.54</v>
      </c>
      <c r="M413">
        <v>0.1096</v>
      </c>
      <c r="N413">
        <v>-298.61</v>
      </c>
      <c r="O413">
        <v>-0.3614</v>
      </c>
      <c r="P413">
        <v>0.39</v>
      </c>
      <c r="Q413">
        <v>6.9999999999999993E-3</v>
      </c>
      <c r="R413">
        <v>0</v>
      </c>
      <c r="S413">
        <v>20.57</v>
      </c>
      <c r="T413">
        <v>23.69</v>
      </c>
      <c r="U413">
        <v>42000</v>
      </c>
      <c r="V413">
        <v>3822000</v>
      </c>
    </row>
    <row r="414" spans="1:22" x14ac:dyDescent="0.25">
      <c r="A414" t="s">
        <v>38</v>
      </c>
      <c r="B414" t="s">
        <v>39</v>
      </c>
      <c r="C414" t="str">
        <f t="shared" si="12"/>
        <v>2020</v>
      </c>
      <c r="D414" t="str">
        <f t="shared" si="13"/>
        <v>07</v>
      </c>
      <c r="E414" t="s">
        <v>37</v>
      </c>
      <c r="F414" t="s">
        <v>114</v>
      </c>
      <c r="G414" t="s">
        <v>115</v>
      </c>
      <c r="H414" t="s">
        <v>107</v>
      </c>
      <c r="I414" t="s">
        <v>26</v>
      </c>
      <c r="J414">
        <v>165</v>
      </c>
      <c r="K414">
        <v>820.26</v>
      </c>
      <c r="L414">
        <v>192.74</v>
      </c>
      <c r="M414">
        <v>0.23499999999999999</v>
      </c>
      <c r="N414">
        <v>-303.47000000000003</v>
      </c>
      <c r="O414">
        <v>-0.37</v>
      </c>
      <c r="P414">
        <v>0.44</v>
      </c>
      <c r="Q414">
        <v>0.29499999999999998</v>
      </c>
      <c r="R414">
        <v>0</v>
      </c>
      <c r="S414">
        <v>44.05</v>
      </c>
      <c r="T414">
        <v>50.43</v>
      </c>
      <c r="U414">
        <v>42000</v>
      </c>
      <c r="V414">
        <v>3822000</v>
      </c>
    </row>
    <row r="415" spans="1:22" x14ac:dyDescent="0.25">
      <c r="A415" t="s">
        <v>40</v>
      </c>
      <c r="B415" t="s">
        <v>41</v>
      </c>
      <c r="C415" t="str">
        <f t="shared" si="12"/>
        <v>2020</v>
      </c>
      <c r="D415" t="str">
        <f t="shared" si="13"/>
        <v>10</v>
      </c>
      <c r="E415" t="s">
        <v>37</v>
      </c>
      <c r="F415" t="s">
        <v>114</v>
      </c>
      <c r="G415" t="s">
        <v>115</v>
      </c>
      <c r="H415" t="s">
        <v>107</v>
      </c>
      <c r="I415" t="s">
        <v>26</v>
      </c>
      <c r="J415">
        <v>165</v>
      </c>
      <c r="K415">
        <v>932.65</v>
      </c>
      <c r="L415">
        <v>174.51</v>
      </c>
      <c r="M415">
        <v>0.18710000000000002</v>
      </c>
      <c r="N415">
        <v>-230.12</v>
      </c>
      <c r="O415">
        <v>-0.24670000000000003</v>
      </c>
      <c r="P415">
        <v>0.5</v>
      </c>
      <c r="Q415">
        <v>0.27200000000000002</v>
      </c>
      <c r="R415">
        <v>0</v>
      </c>
      <c r="S415">
        <v>39.950000000000003</v>
      </c>
      <c r="T415">
        <v>45.66</v>
      </c>
      <c r="U415">
        <v>42000</v>
      </c>
      <c r="V415">
        <v>3822000</v>
      </c>
    </row>
    <row r="416" spans="1:22" x14ac:dyDescent="0.25">
      <c r="A416" t="s">
        <v>42</v>
      </c>
      <c r="B416" t="s">
        <v>43</v>
      </c>
      <c r="C416" t="str">
        <f t="shared" si="12"/>
        <v>2021</v>
      </c>
      <c r="D416" t="str">
        <f t="shared" si="13"/>
        <v>01</v>
      </c>
      <c r="E416" t="s">
        <v>37</v>
      </c>
      <c r="F416" t="s">
        <v>114</v>
      </c>
      <c r="G416" t="s">
        <v>115</v>
      </c>
      <c r="H416" t="s">
        <v>107</v>
      </c>
      <c r="I416" t="s">
        <v>26</v>
      </c>
      <c r="J416">
        <v>165</v>
      </c>
      <c r="K416">
        <v>1069.1600000000001</v>
      </c>
      <c r="L416">
        <v>327.81</v>
      </c>
      <c r="M416">
        <v>0.30659999999999998</v>
      </c>
      <c r="N416">
        <v>-399.15</v>
      </c>
      <c r="O416">
        <v>-0.37329999999999997</v>
      </c>
      <c r="P416">
        <v>0.56000000000000005</v>
      </c>
      <c r="Q416">
        <v>0.33799999999999997</v>
      </c>
      <c r="R416">
        <v>0</v>
      </c>
      <c r="S416">
        <v>75.489999999999995</v>
      </c>
      <c r="T416">
        <v>85.77</v>
      </c>
      <c r="U416">
        <v>42000</v>
      </c>
      <c r="V416">
        <v>3822000</v>
      </c>
    </row>
    <row r="417" spans="1:22" x14ac:dyDescent="0.25">
      <c r="A417" t="s">
        <v>44</v>
      </c>
      <c r="B417" t="s">
        <v>45</v>
      </c>
      <c r="C417" t="str">
        <f t="shared" si="12"/>
        <v>2021</v>
      </c>
      <c r="D417" t="str">
        <f t="shared" si="13"/>
        <v>04</v>
      </c>
      <c r="E417" t="s">
        <v>37</v>
      </c>
      <c r="F417" t="s">
        <v>114</v>
      </c>
      <c r="G417" t="s">
        <v>115</v>
      </c>
      <c r="H417" t="s">
        <v>107</v>
      </c>
      <c r="I417" t="s">
        <v>26</v>
      </c>
      <c r="J417">
        <v>165</v>
      </c>
      <c r="K417">
        <v>724.68</v>
      </c>
      <c r="L417">
        <v>347.5</v>
      </c>
      <c r="M417">
        <v>0.47950000000000004</v>
      </c>
      <c r="N417">
        <v>-304.11</v>
      </c>
      <c r="O417">
        <v>-0.41960000000000003</v>
      </c>
      <c r="P417">
        <v>0.37</v>
      </c>
      <c r="Q417">
        <v>0.14000000000000001</v>
      </c>
      <c r="R417">
        <v>0.5</v>
      </c>
      <c r="S417">
        <v>76.83</v>
      </c>
      <c r="T417">
        <v>90.92</v>
      </c>
      <c r="U417">
        <v>42000</v>
      </c>
      <c r="V417">
        <v>3822000</v>
      </c>
    </row>
    <row r="418" spans="1:22" x14ac:dyDescent="0.25">
      <c r="A418" t="s">
        <v>46</v>
      </c>
      <c r="B418" t="s">
        <v>47</v>
      </c>
      <c r="C418" t="str">
        <f t="shared" si="12"/>
        <v>2021</v>
      </c>
      <c r="D418" t="str">
        <f t="shared" si="13"/>
        <v>07</v>
      </c>
      <c r="E418" t="s">
        <v>48</v>
      </c>
      <c r="F418" t="s">
        <v>114</v>
      </c>
      <c r="G418" t="s">
        <v>115</v>
      </c>
      <c r="H418" t="s">
        <v>107</v>
      </c>
      <c r="I418" t="s">
        <v>26</v>
      </c>
      <c r="J418">
        <v>165</v>
      </c>
      <c r="K418">
        <v>2552.16</v>
      </c>
      <c r="L418">
        <v>343.67</v>
      </c>
      <c r="M418">
        <v>0.13470000000000001</v>
      </c>
      <c r="N418">
        <v>89.83</v>
      </c>
      <c r="O418">
        <v>3.5200000000000002E-2</v>
      </c>
      <c r="P418">
        <v>1.27</v>
      </c>
      <c r="Q418">
        <v>0.36799999999999999</v>
      </c>
      <c r="R418">
        <v>0</v>
      </c>
      <c r="S418">
        <v>78.97</v>
      </c>
      <c r="T418">
        <v>89.92</v>
      </c>
      <c r="U418">
        <v>42000</v>
      </c>
      <c r="V418">
        <v>3822000</v>
      </c>
    </row>
    <row r="419" spans="1:22" x14ac:dyDescent="0.25">
      <c r="A419" t="s">
        <v>49</v>
      </c>
      <c r="B419" t="s">
        <v>50</v>
      </c>
      <c r="C419" t="str">
        <f t="shared" si="12"/>
        <v>2021</v>
      </c>
      <c r="D419" t="str">
        <f t="shared" si="13"/>
        <v>10</v>
      </c>
      <c r="E419" t="s">
        <v>48</v>
      </c>
      <c r="F419" t="s">
        <v>114</v>
      </c>
      <c r="G419" t="s">
        <v>115</v>
      </c>
      <c r="H419" t="s">
        <v>107</v>
      </c>
      <c r="I419" t="s">
        <v>26</v>
      </c>
      <c r="J419">
        <v>165</v>
      </c>
      <c r="K419">
        <v>2523.4699999999998</v>
      </c>
      <c r="L419">
        <v>398.44</v>
      </c>
      <c r="M419">
        <v>0.15789999999999998</v>
      </c>
      <c r="N419">
        <v>180.37</v>
      </c>
      <c r="O419">
        <v>7.1500000000000008E-2</v>
      </c>
      <c r="P419">
        <v>1.2</v>
      </c>
      <c r="Q419">
        <v>0.51100000000000001</v>
      </c>
      <c r="R419">
        <v>32.24</v>
      </c>
      <c r="S419">
        <v>86.82</v>
      </c>
      <c r="T419">
        <v>104.25</v>
      </c>
      <c r="U419">
        <v>42000</v>
      </c>
      <c r="V419">
        <v>3822000</v>
      </c>
    </row>
    <row r="420" spans="1:22" x14ac:dyDescent="0.25">
      <c r="A420" t="s">
        <v>51</v>
      </c>
      <c r="B420" t="s">
        <v>52</v>
      </c>
      <c r="C420" t="str">
        <f t="shared" si="12"/>
        <v>2022</v>
      </c>
      <c r="D420" t="str">
        <f t="shared" si="13"/>
        <v>01</v>
      </c>
      <c r="E420" t="s">
        <v>48</v>
      </c>
      <c r="F420" t="s">
        <v>114</v>
      </c>
      <c r="G420" t="s">
        <v>115</v>
      </c>
      <c r="H420" t="s">
        <v>107</v>
      </c>
      <c r="I420" t="s">
        <v>26</v>
      </c>
      <c r="J420">
        <v>165</v>
      </c>
      <c r="K420">
        <v>2593.0300000000002</v>
      </c>
      <c r="L420">
        <v>311.26</v>
      </c>
      <c r="M420">
        <v>0.12</v>
      </c>
      <c r="N420">
        <v>27.85</v>
      </c>
      <c r="O420">
        <v>1.0700000000000001E-2</v>
      </c>
      <c r="P420">
        <v>1.48</v>
      </c>
      <c r="Q420">
        <v>0.622</v>
      </c>
      <c r="R420">
        <v>0</v>
      </c>
      <c r="S420">
        <v>72.010000000000005</v>
      </c>
      <c r="T420">
        <v>81.44</v>
      </c>
      <c r="U420">
        <v>42000</v>
      </c>
      <c r="V420">
        <v>3822000</v>
      </c>
    </row>
    <row r="421" spans="1:22" x14ac:dyDescent="0.25">
      <c r="A421" t="s">
        <v>53</v>
      </c>
      <c r="B421" t="s">
        <v>54</v>
      </c>
      <c r="C421" t="str">
        <f t="shared" si="12"/>
        <v>2022</v>
      </c>
      <c r="D421" t="str">
        <f t="shared" si="13"/>
        <v>04</v>
      </c>
      <c r="E421" t="s">
        <v>55</v>
      </c>
      <c r="F421" t="s">
        <v>114</v>
      </c>
      <c r="G421" t="s">
        <v>115</v>
      </c>
      <c r="H421" t="s">
        <v>107</v>
      </c>
      <c r="I421" t="s">
        <v>26</v>
      </c>
      <c r="J421">
        <v>165</v>
      </c>
      <c r="K421">
        <v>3171.49</v>
      </c>
      <c r="L421">
        <v>503.09</v>
      </c>
      <c r="M421">
        <v>0.15859999999999999</v>
      </c>
      <c r="N421">
        <v>278.48</v>
      </c>
      <c r="O421">
        <v>8.7799999999999989E-2</v>
      </c>
      <c r="P421">
        <v>1.58</v>
      </c>
      <c r="Q421">
        <v>0.59599999999999997</v>
      </c>
      <c r="R421">
        <v>138.69</v>
      </c>
      <c r="S421">
        <v>109.53</v>
      </c>
      <c r="T421">
        <v>131.63</v>
      </c>
      <c r="U421">
        <v>42000</v>
      </c>
      <c r="V421">
        <v>3822000</v>
      </c>
    </row>
    <row r="422" spans="1:22" x14ac:dyDescent="0.25">
      <c r="A422" t="s">
        <v>56</v>
      </c>
      <c r="B422" t="s">
        <v>57</v>
      </c>
      <c r="C422" t="str">
        <f t="shared" si="12"/>
        <v>2022</v>
      </c>
      <c r="D422" t="str">
        <f t="shared" si="13"/>
        <v>07</v>
      </c>
      <c r="E422" t="s">
        <v>55</v>
      </c>
      <c r="F422" t="s">
        <v>114</v>
      </c>
      <c r="G422" t="s">
        <v>115</v>
      </c>
      <c r="H422" t="s">
        <v>107</v>
      </c>
      <c r="I422" t="s">
        <v>26</v>
      </c>
      <c r="J422">
        <v>165</v>
      </c>
      <c r="K422">
        <v>3131.51</v>
      </c>
      <c r="L422">
        <v>361.14</v>
      </c>
      <c r="M422">
        <v>0.1153</v>
      </c>
      <c r="N422">
        <v>190.31</v>
      </c>
      <c r="O422">
        <v>6.08E-2</v>
      </c>
      <c r="P422">
        <v>1.74</v>
      </c>
      <c r="Q422">
        <v>0.57799999999999996</v>
      </c>
      <c r="R422">
        <v>10.41</v>
      </c>
      <c r="S422">
        <v>80.69</v>
      </c>
      <c r="T422">
        <v>94.49</v>
      </c>
      <c r="U422">
        <v>42000</v>
      </c>
      <c r="V422">
        <v>3822000</v>
      </c>
    </row>
    <row r="423" spans="1:22" x14ac:dyDescent="0.25">
      <c r="A423" t="s">
        <v>58</v>
      </c>
      <c r="B423" t="s">
        <v>59</v>
      </c>
      <c r="C423" t="str">
        <f t="shared" si="12"/>
        <v>2022</v>
      </c>
      <c r="D423" t="str">
        <f t="shared" si="13"/>
        <v>10</v>
      </c>
      <c r="E423" t="s">
        <v>55</v>
      </c>
      <c r="F423" t="s">
        <v>114</v>
      </c>
      <c r="G423" t="s">
        <v>115</v>
      </c>
      <c r="H423" t="s">
        <v>107</v>
      </c>
      <c r="I423" t="s">
        <v>26</v>
      </c>
      <c r="J423">
        <v>165</v>
      </c>
      <c r="K423">
        <v>3198.77</v>
      </c>
      <c r="L423">
        <v>403.45</v>
      </c>
      <c r="M423">
        <v>0.12609999999999999</v>
      </c>
      <c r="N423">
        <v>70.38</v>
      </c>
      <c r="O423">
        <v>2.2000000000000002E-2</v>
      </c>
      <c r="P423">
        <v>1.7</v>
      </c>
      <c r="Q423">
        <v>0.53400000000000003</v>
      </c>
      <c r="R423">
        <v>37.25</v>
      </c>
      <c r="S423">
        <v>93.25</v>
      </c>
      <c r="T423">
        <v>105.56</v>
      </c>
      <c r="U423">
        <v>42000</v>
      </c>
      <c r="V423">
        <v>3822000</v>
      </c>
    </row>
    <row r="424" spans="1:22" x14ac:dyDescent="0.25">
      <c r="A424" t="s">
        <v>60</v>
      </c>
      <c r="B424" t="s">
        <v>61</v>
      </c>
      <c r="C424" t="str">
        <f t="shared" si="12"/>
        <v>2023</v>
      </c>
      <c r="D424" t="str">
        <f t="shared" si="13"/>
        <v>01</v>
      </c>
      <c r="E424" t="s">
        <v>62</v>
      </c>
      <c r="F424" t="s">
        <v>114</v>
      </c>
      <c r="G424" t="s">
        <v>115</v>
      </c>
      <c r="H424" t="s">
        <v>107</v>
      </c>
      <c r="I424" t="s">
        <v>26</v>
      </c>
      <c r="J424">
        <v>165</v>
      </c>
      <c r="K424">
        <v>3139.22</v>
      </c>
      <c r="L424">
        <v>371.23</v>
      </c>
      <c r="M424">
        <v>0.1183</v>
      </c>
      <c r="N424">
        <v>419.04</v>
      </c>
      <c r="O424">
        <v>0.13350000000000001</v>
      </c>
      <c r="P424">
        <v>1.76</v>
      </c>
      <c r="Q424">
        <v>0.34399999999999997</v>
      </c>
      <c r="R424">
        <v>10.119999999999999</v>
      </c>
      <c r="S424">
        <v>84.29</v>
      </c>
      <c r="T424">
        <v>97.13</v>
      </c>
      <c r="U424">
        <v>42000</v>
      </c>
      <c r="V424">
        <v>3822000</v>
      </c>
    </row>
    <row r="425" spans="1:22" x14ac:dyDescent="0.25">
      <c r="A425" t="s">
        <v>63</v>
      </c>
      <c r="B425" t="s">
        <v>64</v>
      </c>
      <c r="C425" t="str">
        <f t="shared" si="12"/>
        <v>2023</v>
      </c>
      <c r="D425" t="str">
        <f t="shared" si="13"/>
        <v>04</v>
      </c>
      <c r="E425" t="s">
        <v>62</v>
      </c>
      <c r="F425" t="s">
        <v>114</v>
      </c>
      <c r="G425" t="s">
        <v>115</v>
      </c>
      <c r="H425" t="s">
        <v>107</v>
      </c>
      <c r="I425" t="s">
        <v>26</v>
      </c>
      <c r="J425">
        <v>165</v>
      </c>
      <c r="K425">
        <v>3082.68</v>
      </c>
      <c r="L425">
        <v>389.73</v>
      </c>
      <c r="M425">
        <v>0.12640000000000001</v>
      </c>
      <c r="N425">
        <v>140.29</v>
      </c>
      <c r="O425">
        <v>4.5499999999999999E-2</v>
      </c>
      <c r="P425">
        <v>1.65</v>
      </c>
      <c r="Q425">
        <v>0.17300000000000001</v>
      </c>
      <c r="R425">
        <v>8.9700000000000006</v>
      </c>
      <c r="S425">
        <v>88.18</v>
      </c>
      <c r="T425">
        <v>101.97</v>
      </c>
      <c r="U425">
        <v>42000</v>
      </c>
      <c r="V425">
        <v>3822000</v>
      </c>
    </row>
    <row r="426" spans="1:22" x14ac:dyDescent="0.25">
      <c r="A426" t="s">
        <v>65</v>
      </c>
      <c r="B426" t="s">
        <v>66</v>
      </c>
      <c r="C426" t="str">
        <f t="shared" si="12"/>
        <v>2023</v>
      </c>
      <c r="D426" t="str">
        <f t="shared" si="13"/>
        <v>07</v>
      </c>
      <c r="E426" t="s">
        <v>62</v>
      </c>
      <c r="F426" t="s">
        <v>114</v>
      </c>
      <c r="G426" t="s">
        <v>115</v>
      </c>
      <c r="H426" t="s">
        <v>107</v>
      </c>
      <c r="I426" t="s">
        <v>26</v>
      </c>
      <c r="J426">
        <v>165</v>
      </c>
      <c r="K426">
        <v>3188.46</v>
      </c>
      <c r="L426">
        <v>372.72</v>
      </c>
      <c r="M426">
        <v>0.11689999999999999</v>
      </c>
      <c r="N426">
        <v>382.22</v>
      </c>
      <c r="O426">
        <v>0.11990000000000001</v>
      </c>
      <c r="P426">
        <v>1.63</v>
      </c>
      <c r="Q426">
        <v>0.01</v>
      </c>
      <c r="R426">
        <v>0.31</v>
      </c>
      <c r="S426">
        <v>85.16</v>
      </c>
      <c r="T426">
        <v>97.52</v>
      </c>
      <c r="U426">
        <v>42000</v>
      </c>
      <c r="V426">
        <v>3822000</v>
      </c>
    </row>
    <row r="427" spans="1:22" x14ac:dyDescent="0.25">
      <c r="A427" t="s">
        <v>67</v>
      </c>
      <c r="B427" t="s">
        <v>68</v>
      </c>
      <c r="C427" t="str">
        <f t="shared" si="12"/>
        <v>2023</v>
      </c>
      <c r="D427" t="str">
        <f t="shared" si="13"/>
        <v>10</v>
      </c>
      <c r="E427" t="s">
        <v>69</v>
      </c>
      <c r="F427" t="s">
        <v>114</v>
      </c>
      <c r="G427" t="s">
        <v>115</v>
      </c>
      <c r="H427" t="s">
        <v>107</v>
      </c>
      <c r="I427" t="s">
        <v>26</v>
      </c>
      <c r="J427">
        <v>165</v>
      </c>
      <c r="K427">
        <v>3267.14</v>
      </c>
      <c r="L427">
        <v>343.83</v>
      </c>
      <c r="M427">
        <v>0.1052</v>
      </c>
      <c r="N427">
        <v>310.05</v>
      </c>
      <c r="O427">
        <v>9.4899999999999998E-2</v>
      </c>
      <c r="P427">
        <v>1.64</v>
      </c>
      <c r="Q427">
        <v>0.41200000000000003</v>
      </c>
      <c r="R427">
        <v>0</v>
      </c>
      <c r="S427">
        <v>78.33</v>
      </c>
      <c r="T427">
        <v>89.96</v>
      </c>
      <c r="U427">
        <v>42000</v>
      </c>
      <c r="V427">
        <v>3822000</v>
      </c>
    </row>
    <row r="428" spans="1:22" x14ac:dyDescent="0.25">
      <c r="A428" t="s">
        <v>70</v>
      </c>
      <c r="B428" t="s">
        <v>71</v>
      </c>
      <c r="C428" t="str">
        <f t="shared" si="12"/>
        <v>2024</v>
      </c>
      <c r="D428" t="str">
        <f t="shared" si="13"/>
        <v>01</v>
      </c>
      <c r="E428" t="s">
        <v>69</v>
      </c>
      <c r="F428" t="s">
        <v>114</v>
      </c>
      <c r="G428" t="s">
        <v>115</v>
      </c>
      <c r="H428" t="s">
        <v>107</v>
      </c>
      <c r="I428" t="s">
        <v>26</v>
      </c>
      <c r="J428">
        <v>165</v>
      </c>
      <c r="K428">
        <v>3190.84</v>
      </c>
      <c r="L428">
        <v>378.45</v>
      </c>
      <c r="M428">
        <v>0.1186</v>
      </c>
      <c r="N428">
        <v>174.69</v>
      </c>
      <c r="O428">
        <v>5.4699999999999999E-2</v>
      </c>
      <c r="P428">
        <v>1.71</v>
      </c>
      <c r="Q428">
        <v>0.18600000000000003</v>
      </c>
      <c r="R428">
        <v>7.05</v>
      </c>
      <c r="S428">
        <v>84.61</v>
      </c>
      <c r="T428">
        <v>99.02</v>
      </c>
      <c r="U428">
        <v>42000</v>
      </c>
      <c r="V428">
        <v>3822000</v>
      </c>
    </row>
    <row r="429" spans="1:22" x14ac:dyDescent="0.25">
      <c r="A429" t="s">
        <v>72</v>
      </c>
      <c r="B429" t="s">
        <v>73</v>
      </c>
      <c r="C429" t="str">
        <f t="shared" si="12"/>
        <v>2024</v>
      </c>
      <c r="D429" t="str">
        <f t="shared" si="13"/>
        <v>04</v>
      </c>
      <c r="E429" t="s">
        <v>69</v>
      </c>
      <c r="F429" t="s">
        <v>114</v>
      </c>
      <c r="G429" t="s">
        <v>115</v>
      </c>
      <c r="H429" t="s">
        <v>107</v>
      </c>
      <c r="I429" t="s">
        <v>26</v>
      </c>
      <c r="J429">
        <v>165</v>
      </c>
      <c r="K429">
        <v>3242.5</v>
      </c>
      <c r="L429">
        <v>389</v>
      </c>
      <c r="M429">
        <v>0.12</v>
      </c>
      <c r="N429">
        <v>434.98</v>
      </c>
      <c r="O429">
        <v>0.13419999999999999</v>
      </c>
      <c r="P429">
        <v>1.55</v>
      </c>
      <c r="Q429">
        <v>0.59599999999999997</v>
      </c>
      <c r="R429">
        <v>30.35</v>
      </c>
      <c r="S429">
        <v>84.06</v>
      </c>
      <c r="T429">
        <v>101.78</v>
      </c>
      <c r="U429">
        <v>42000</v>
      </c>
      <c r="V429">
        <v>3822000</v>
      </c>
    </row>
    <row r="430" spans="1:22" x14ac:dyDescent="0.25">
      <c r="A430" t="s">
        <v>74</v>
      </c>
      <c r="B430" t="s">
        <v>75</v>
      </c>
      <c r="C430" t="str">
        <f t="shared" si="12"/>
        <v>2024</v>
      </c>
      <c r="D430" t="str">
        <f t="shared" si="13"/>
        <v>07</v>
      </c>
      <c r="E430" t="s">
        <v>69</v>
      </c>
      <c r="F430" t="s">
        <v>114</v>
      </c>
      <c r="G430" t="s">
        <v>115</v>
      </c>
      <c r="H430" t="s">
        <v>107</v>
      </c>
      <c r="I430" t="s">
        <v>26</v>
      </c>
      <c r="J430">
        <v>165</v>
      </c>
      <c r="K430">
        <v>3282.4</v>
      </c>
      <c r="L430">
        <v>359.19</v>
      </c>
      <c r="M430">
        <v>0.1094</v>
      </c>
      <c r="N430">
        <v>243.85</v>
      </c>
      <c r="O430">
        <v>7.4299999999999991E-2</v>
      </c>
      <c r="P430">
        <v>1.55</v>
      </c>
      <c r="Q430">
        <v>0.43099999999999999</v>
      </c>
      <c r="R430">
        <v>6.85</v>
      </c>
      <c r="S430">
        <v>80.400000000000006</v>
      </c>
      <c r="T430">
        <v>93.98</v>
      </c>
      <c r="U430">
        <v>42000</v>
      </c>
      <c r="V430">
        <v>3822000</v>
      </c>
    </row>
    <row r="431" spans="1:22" x14ac:dyDescent="0.25">
      <c r="A431" t="s">
        <v>76</v>
      </c>
      <c r="B431" t="s">
        <v>77</v>
      </c>
      <c r="C431" t="str">
        <f t="shared" si="12"/>
        <v>2024</v>
      </c>
      <c r="D431" t="str">
        <f t="shared" si="13"/>
        <v>10</v>
      </c>
      <c r="E431" t="s">
        <v>69</v>
      </c>
      <c r="F431" t="s">
        <v>114</v>
      </c>
      <c r="G431" t="s">
        <v>115</v>
      </c>
      <c r="H431" t="s">
        <v>107</v>
      </c>
      <c r="I431" t="s">
        <v>26</v>
      </c>
      <c r="J431">
        <v>165</v>
      </c>
      <c r="K431">
        <v>3059.05</v>
      </c>
      <c r="L431">
        <v>430.05</v>
      </c>
      <c r="M431">
        <v>0.1406</v>
      </c>
      <c r="N431">
        <v>180.99</v>
      </c>
      <c r="O431">
        <v>5.9200000000000003E-2</v>
      </c>
      <c r="P431">
        <v>1.47</v>
      </c>
      <c r="Q431">
        <v>0.127</v>
      </c>
      <c r="R431">
        <v>13.67</v>
      </c>
      <c r="S431">
        <v>94.78</v>
      </c>
      <c r="T431">
        <v>112.52</v>
      </c>
      <c r="U431">
        <v>42000</v>
      </c>
      <c r="V431">
        <v>3822000</v>
      </c>
    </row>
    <row r="432" spans="1:22" x14ac:dyDescent="0.25">
      <c r="A432" t="s">
        <v>78</v>
      </c>
      <c r="B432" t="s">
        <v>79</v>
      </c>
      <c r="C432" t="str">
        <f t="shared" si="12"/>
        <v>2025</v>
      </c>
      <c r="D432" t="str">
        <f t="shared" si="13"/>
        <v>01</v>
      </c>
      <c r="E432" t="s">
        <v>80</v>
      </c>
      <c r="F432" t="s">
        <v>114</v>
      </c>
      <c r="G432" t="s">
        <v>115</v>
      </c>
      <c r="H432" t="s">
        <v>107</v>
      </c>
      <c r="I432" t="s">
        <v>26</v>
      </c>
      <c r="J432">
        <v>165</v>
      </c>
      <c r="K432">
        <v>3016.18</v>
      </c>
      <c r="L432">
        <v>388.09</v>
      </c>
      <c r="M432">
        <v>0.12869999999999998</v>
      </c>
      <c r="N432">
        <v>360.68</v>
      </c>
      <c r="O432">
        <v>0.11960000000000001</v>
      </c>
      <c r="P432">
        <v>1.66</v>
      </c>
      <c r="Q432">
        <v>0.32100000000000001</v>
      </c>
      <c r="R432">
        <v>15.97</v>
      </c>
      <c r="S432">
        <v>85.13</v>
      </c>
      <c r="T432">
        <v>101.54</v>
      </c>
      <c r="U432">
        <v>42000</v>
      </c>
      <c r="V432">
        <v>3822000</v>
      </c>
    </row>
    <row r="433" spans="1:22" x14ac:dyDescent="0.25">
      <c r="A433" t="s">
        <v>81</v>
      </c>
      <c r="B433" t="s">
        <v>82</v>
      </c>
      <c r="C433" t="str">
        <f t="shared" si="12"/>
        <v>2025</v>
      </c>
      <c r="D433" t="str">
        <f t="shared" si="13"/>
        <v>04</v>
      </c>
      <c r="E433" t="s">
        <v>80</v>
      </c>
      <c r="F433" t="s">
        <v>114</v>
      </c>
      <c r="G433" t="s">
        <v>115</v>
      </c>
      <c r="H433" t="s">
        <v>107</v>
      </c>
      <c r="I433" t="s">
        <v>26</v>
      </c>
      <c r="J433">
        <v>165</v>
      </c>
      <c r="K433">
        <v>3142.44</v>
      </c>
      <c r="L433">
        <v>460.28</v>
      </c>
      <c r="M433">
        <v>0.14649999999999999</v>
      </c>
      <c r="N433">
        <v>414.12</v>
      </c>
      <c r="O433">
        <v>0.1318</v>
      </c>
      <c r="P433">
        <v>1.77</v>
      </c>
      <c r="Q433">
        <v>0.53900000000000003</v>
      </c>
      <c r="R433">
        <v>83.88</v>
      </c>
      <c r="S433">
        <v>101.77</v>
      </c>
      <c r="T433">
        <v>120.43</v>
      </c>
      <c r="U433">
        <v>42000</v>
      </c>
      <c r="V433">
        <v>3822000</v>
      </c>
    </row>
    <row r="434" spans="1:22" x14ac:dyDescent="0.25">
      <c r="A434" t="s">
        <v>83</v>
      </c>
      <c r="B434" t="s">
        <v>84</v>
      </c>
      <c r="C434" t="str">
        <f t="shared" si="12"/>
        <v>2025</v>
      </c>
      <c r="D434" t="str">
        <f t="shared" si="13"/>
        <v>07</v>
      </c>
      <c r="E434" t="s">
        <v>80</v>
      </c>
      <c r="F434" t="s">
        <v>114</v>
      </c>
      <c r="G434" t="s">
        <v>115</v>
      </c>
      <c r="H434" t="s">
        <v>107</v>
      </c>
      <c r="I434" t="s">
        <v>26</v>
      </c>
      <c r="J434">
        <v>165</v>
      </c>
      <c r="K434">
        <v>3070.87</v>
      </c>
      <c r="L434">
        <v>428.9</v>
      </c>
      <c r="M434">
        <v>0.13970000000000002</v>
      </c>
      <c r="N434">
        <v>235.4</v>
      </c>
      <c r="O434">
        <v>7.6700000000000004E-2</v>
      </c>
      <c r="P434">
        <v>1.72</v>
      </c>
      <c r="Q434">
        <v>0.60199999999999998</v>
      </c>
      <c r="R434">
        <v>63.75</v>
      </c>
      <c r="S434">
        <v>93.24</v>
      </c>
      <c r="T434">
        <v>112.22</v>
      </c>
      <c r="U434">
        <v>42000</v>
      </c>
      <c r="V434">
        <v>3822000</v>
      </c>
    </row>
    <row r="435" spans="1:22" x14ac:dyDescent="0.25">
      <c r="A435" t="s">
        <v>85</v>
      </c>
      <c r="B435" t="s">
        <v>86</v>
      </c>
      <c r="C435" t="str">
        <f t="shared" si="12"/>
        <v>2025</v>
      </c>
      <c r="D435" t="str">
        <f t="shared" si="13"/>
        <v>10</v>
      </c>
      <c r="E435" t="s">
        <v>80</v>
      </c>
      <c r="F435" t="s">
        <v>114</v>
      </c>
      <c r="G435" t="s">
        <v>115</v>
      </c>
      <c r="H435" t="s">
        <v>107</v>
      </c>
      <c r="I435" t="s">
        <v>26</v>
      </c>
      <c r="J435">
        <v>165</v>
      </c>
      <c r="K435">
        <v>3240.43</v>
      </c>
      <c r="L435">
        <v>426.8</v>
      </c>
      <c r="M435">
        <v>0.13170000000000001</v>
      </c>
      <c r="N435">
        <v>374.96</v>
      </c>
      <c r="O435">
        <v>0.1157</v>
      </c>
      <c r="P435">
        <v>1.71</v>
      </c>
      <c r="Q435">
        <v>0.22</v>
      </c>
      <c r="R435">
        <v>22.61</v>
      </c>
      <c r="S435">
        <v>99.34</v>
      </c>
      <c r="T435">
        <v>111.67</v>
      </c>
      <c r="U435">
        <v>42000</v>
      </c>
      <c r="V435">
        <v>3822000</v>
      </c>
    </row>
    <row r="436" spans="1:22" x14ac:dyDescent="0.25">
      <c r="A436" t="s">
        <v>87</v>
      </c>
      <c r="B436" t="s">
        <v>88</v>
      </c>
      <c r="C436" t="str">
        <f t="shared" si="12"/>
        <v>2026</v>
      </c>
      <c r="D436" t="str">
        <f t="shared" si="13"/>
        <v>01</v>
      </c>
      <c r="E436" t="s">
        <v>89</v>
      </c>
      <c r="F436" t="s">
        <v>114</v>
      </c>
      <c r="G436" t="s">
        <v>115</v>
      </c>
      <c r="H436" t="s">
        <v>107</v>
      </c>
      <c r="I436" t="s">
        <v>26</v>
      </c>
      <c r="J436">
        <v>165</v>
      </c>
      <c r="K436">
        <v>2300.4899999999998</v>
      </c>
      <c r="L436">
        <v>561.07000000000005</v>
      </c>
      <c r="M436">
        <v>0.24390000000000001</v>
      </c>
      <c r="N436">
        <v>-510.55</v>
      </c>
      <c r="O436">
        <v>-0.22190000000000001</v>
      </c>
      <c r="P436">
        <v>1.25</v>
      </c>
      <c r="Q436">
        <v>0.505</v>
      </c>
      <c r="R436">
        <v>178.82</v>
      </c>
      <c r="S436">
        <v>130.88</v>
      </c>
      <c r="T436">
        <v>146.80000000000001</v>
      </c>
      <c r="U436">
        <v>42000</v>
      </c>
      <c r="V436">
        <v>3822000</v>
      </c>
    </row>
    <row r="437" spans="1:22" x14ac:dyDescent="0.25">
      <c r="A437" t="s">
        <v>20</v>
      </c>
      <c r="B437" t="s">
        <v>21</v>
      </c>
      <c r="C437" t="str">
        <f t="shared" si="12"/>
        <v>2019</v>
      </c>
      <c r="D437" t="str">
        <f t="shared" si="13"/>
        <v>01</v>
      </c>
      <c r="E437" t="s">
        <v>22</v>
      </c>
      <c r="F437" t="s">
        <v>116</v>
      </c>
      <c r="G437" t="s">
        <v>117</v>
      </c>
      <c r="H437" t="s">
        <v>118</v>
      </c>
      <c r="I437" t="s">
        <v>26</v>
      </c>
      <c r="J437">
        <v>704</v>
      </c>
      <c r="K437">
        <v>9069.2800000000007</v>
      </c>
      <c r="L437">
        <v>610.80999999999995</v>
      </c>
      <c r="M437">
        <v>6.7299999999999999E-2</v>
      </c>
      <c r="N437">
        <v>368.25</v>
      </c>
      <c r="O437">
        <v>4.0599999999999997E-2</v>
      </c>
      <c r="P437">
        <v>7.4</v>
      </c>
      <c r="Q437">
        <v>0.28399999999999997</v>
      </c>
      <c r="R437">
        <v>0</v>
      </c>
      <c r="S437">
        <v>63</v>
      </c>
      <c r="T437">
        <v>74.58</v>
      </c>
      <c r="U437">
        <v>90000</v>
      </c>
      <c r="V437">
        <v>8190000</v>
      </c>
    </row>
    <row r="438" spans="1:22" x14ac:dyDescent="0.25">
      <c r="A438" t="s">
        <v>27</v>
      </c>
      <c r="B438" t="s">
        <v>28</v>
      </c>
      <c r="C438" t="str">
        <f t="shared" si="12"/>
        <v>2019</v>
      </c>
      <c r="D438" t="str">
        <f t="shared" si="13"/>
        <v>04</v>
      </c>
      <c r="E438" t="s">
        <v>22</v>
      </c>
      <c r="F438" t="s">
        <v>116</v>
      </c>
      <c r="G438" t="s">
        <v>117</v>
      </c>
      <c r="H438" t="s">
        <v>118</v>
      </c>
      <c r="I438" t="s">
        <v>26</v>
      </c>
      <c r="J438">
        <v>704</v>
      </c>
      <c r="K438">
        <v>9797.94</v>
      </c>
      <c r="L438">
        <v>600.65</v>
      </c>
      <c r="M438">
        <v>6.13E-2</v>
      </c>
      <c r="N438">
        <v>1055.5899999999999</v>
      </c>
      <c r="O438">
        <v>0.10769999999999999</v>
      </c>
      <c r="P438">
        <v>6.8</v>
      </c>
      <c r="Q438">
        <v>0.21299999999999999</v>
      </c>
      <c r="R438">
        <v>0</v>
      </c>
      <c r="S438">
        <v>64.790000000000006</v>
      </c>
      <c r="T438">
        <v>73.34</v>
      </c>
      <c r="U438">
        <v>90000</v>
      </c>
      <c r="V438">
        <v>8190000</v>
      </c>
    </row>
    <row r="439" spans="1:22" x14ac:dyDescent="0.25">
      <c r="A439" t="s">
        <v>29</v>
      </c>
      <c r="B439" t="s">
        <v>30</v>
      </c>
      <c r="C439" t="str">
        <f t="shared" si="12"/>
        <v>2019</v>
      </c>
      <c r="D439" t="str">
        <f t="shared" si="13"/>
        <v>07</v>
      </c>
      <c r="E439" t="s">
        <v>22</v>
      </c>
      <c r="F439" t="s">
        <v>116</v>
      </c>
      <c r="G439" t="s">
        <v>117</v>
      </c>
      <c r="H439" t="s">
        <v>118</v>
      </c>
      <c r="I439" t="s">
        <v>26</v>
      </c>
      <c r="J439">
        <v>704</v>
      </c>
      <c r="K439">
        <v>9422.2900000000009</v>
      </c>
      <c r="L439">
        <v>582.39</v>
      </c>
      <c r="M439">
        <v>6.1799999999999994E-2</v>
      </c>
      <c r="N439">
        <v>988.64</v>
      </c>
      <c r="O439">
        <v>0.10490000000000001</v>
      </c>
      <c r="P439">
        <v>6.69</v>
      </c>
      <c r="Q439">
        <v>0.115</v>
      </c>
      <c r="R439">
        <v>0</v>
      </c>
      <c r="S439">
        <v>60.46</v>
      </c>
      <c r="T439">
        <v>71.11</v>
      </c>
      <c r="U439">
        <v>90000</v>
      </c>
      <c r="V439">
        <v>8190000</v>
      </c>
    </row>
    <row r="440" spans="1:22" x14ac:dyDescent="0.25">
      <c r="A440" t="s">
        <v>31</v>
      </c>
      <c r="B440" t="s">
        <v>32</v>
      </c>
      <c r="C440" t="str">
        <f t="shared" si="12"/>
        <v>2019</v>
      </c>
      <c r="D440" t="str">
        <f t="shared" si="13"/>
        <v>10</v>
      </c>
      <c r="E440" t="s">
        <v>22</v>
      </c>
      <c r="F440" t="s">
        <v>116</v>
      </c>
      <c r="G440" t="s">
        <v>117</v>
      </c>
      <c r="H440" t="s">
        <v>118</v>
      </c>
      <c r="I440" t="s">
        <v>26</v>
      </c>
      <c r="J440">
        <v>704</v>
      </c>
      <c r="K440">
        <v>8972.44</v>
      </c>
      <c r="L440">
        <v>630.38</v>
      </c>
      <c r="M440">
        <v>7.0300000000000001E-2</v>
      </c>
      <c r="N440">
        <v>1064.93</v>
      </c>
      <c r="O440">
        <v>0.11869999999999999</v>
      </c>
      <c r="P440">
        <v>6.39</v>
      </c>
      <c r="Q440">
        <v>0.45600000000000002</v>
      </c>
      <c r="R440">
        <v>0</v>
      </c>
      <c r="S440">
        <v>65.66</v>
      </c>
      <c r="T440">
        <v>76.97</v>
      </c>
      <c r="U440">
        <v>90000</v>
      </c>
      <c r="V440">
        <v>8190000</v>
      </c>
    </row>
    <row r="441" spans="1:22" x14ac:dyDescent="0.25">
      <c r="A441" t="s">
        <v>33</v>
      </c>
      <c r="B441" t="s">
        <v>34</v>
      </c>
      <c r="C441" t="str">
        <f t="shared" si="12"/>
        <v>2020</v>
      </c>
      <c r="D441" t="str">
        <f t="shared" si="13"/>
        <v>01</v>
      </c>
      <c r="E441" t="s">
        <v>22</v>
      </c>
      <c r="F441" t="s">
        <v>116</v>
      </c>
      <c r="G441" t="s">
        <v>117</v>
      </c>
      <c r="H441" t="s">
        <v>118</v>
      </c>
      <c r="I441" t="s">
        <v>26</v>
      </c>
      <c r="J441">
        <v>704</v>
      </c>
      <c r="K441">
        <v>9674.2099999999991</v>
      </c>
      <c r="L441">
        <v>617.36</v>
      </c>
      <c r="M441">
        <v>6.3799999999999996E-2</v>
      </c>
      <c r="N441">
        <v>765.83</v>
      </c>
      <c r="O441">
        <v>7.9199999999999993E-2</v>
      </c>
      <c r="P441">
        <v>6.54</v>
      </c>
      <c r="Q441">
        <v>9.1999999999999998E-2</v>
      </c>
      <c r="R441">
        <v>0</v>
      </c>
      <c r="S441">
        <v>66.66</v>
      </c>
      <c r="T441">
        <v>75.38</v>
      </c>
      <c r="U441">
        <v>90000</v>
      </c>
      <c r="V441">
        <v>8190000</v>
      </c>
    </row>
    <row r="442" spans="1:22" x14ac:dyDescent="0.25">
      <c r="A442" t="s">
        <v>35</v>
      </c>
      <c r="B442" t="s">
        <v>36</v>
      </c>
      <c r="C442" t="str">
        <f t="shared" si="12"/>
        <v>2020</v>
      </c>
      <c r="D442" t="str">
        <f t="shared" si="13"/>
        <v>04</v>
      </c>
      <c r="E442" t="s">
        <v>37</v>
      </c>
      <c r="F442" t="s">
        <v>116</v>
      </c>
      <c r="G442" t="s">
        <v>117</v>
      </c>
      <c r="H442" t="s">
        <v>118</v>
      </c>
      <c r="I442" t="s">
        <v>26</v>
      </c>
      <c r="J442">
        <v>704</v>
      </c>
      <c r="K442">
        <v>1932.65</v>
      </c>
      <c r="L442">
        <v>194.02</v>
      </c>
      <c r="M442">
        <v>0.10039999999999999</v>
      </c>
      <c r="N442">
        <v>-777.91</v>
      </c>
      <c r="O442">
        <v>-0.40250000000000002</v>
      </c>
      <c r="P442">
        <v>1.39</v>
      </c>
      <c r="Q442">
        <v>0.35399999999999998</v>
      </c>
      <c r="R442">
        <v>0</v>
      </c>
      <c r="S442">
        <v>20.57</v>
      </c>
      <c r="T442">
        <v>23.69</v>
      </c>
      <c r="U442">
        <v>90000</v>
      </c>
      <c r="V442">
        <v>8190000</v>
      </c>
    </row>
    <row r="443" spans="1:22" x14ac:dyDescent="0.25">
      <c r="A443" t="s">
        <v>38</v>
      </c>
      <c r="B443" t="s">
        <v>39</v>
      </c>
      <c r="C443" t="str">
        <f t="shared" si="12"/>
        <v>2020</v>
      </c>
      <c r="D443" t="str">
        <f t="shared" si="13"/>
        <v>07</v>
      </c>
      <c r="E443" t="s">
        <v>37</v>
      </c>
      <c r="F443" t="s">
        <v>116</v>
      </c>
      <c r="G443" t="s">
        <v>117</v>
      </c>
      <c r="H443" t="s">
        <v>118</v>
      </c>
      <c r="I443" t="s">
        <v>26</v>
      </c>
      <c r="J443">
        <v>704</v>
      </c>
      <c r="K443">
        <v>1403.37</v>
      </c>
      <c r="L443">
        <v>413.02</v>
      </c>
      <c r="M443">
        <v>0.29430000000000001</v>
      </c>
      <c r="N443">
        <v>-608.96</v>
      </c>
      <c r="O443">
        <v>-0.43390000000000001</v>
      </c>
      <c r="P443">
        <v>1.1299999999999999</v>
      </c>
      <c r="Q443">
        <v>0.34</v>
      </c>
      <c r="R443">
        <v>0</v>
      </c>
      <c r="S443">
        <v>44.05</v>
      </c>
      <c r="T443">
        <v>50.43</v>
      </c>
      <c r="U443">
        <v>90000</v>
      </c>
      <c r="V443">
        <v>8190000</v>
      </c>
    </row>
    <row r="444" spans="1:22" x14ac:dyDescent="0.25">
      <c r="A444" t="s">
        <v>40</v>
      </c>
      <c r="B444" t="s">
        <v>41</v>
      </c>
      <c r="C444" t="str">
        <f t="shared" si="12"/>
        <v>2020</v>
      </c>
      <c r="D444" t="str">
        <f t="shared" si="13"/>
        <v>10</v>
      </c>
      <c r="E444" t="s">
        <v>37</v>
      </c>
      <c r="F444" t="s">
        <v>116</v>
      </c>
      <c r="G444" t="s">
        <v>117</v>
      </c>
      <c r="H444" t="s">
        <v>118</v>
      </c>
      <c r="I444" t="s">
        <v>26</v>
      </c>
      <c r="J444">
        <v>704</v>
      </c>
      <c r="K444">
        <v>3067.67</v>
      </c>
      <c r="L444">
        <v>373.96</v>
      </c>
      <c r="M444">
        <v>0.12189999999999999</v>
      </c>
      <c r="N444">
        <v>-1377.94</v>
      </c>
      <c r="O444">
        <v>-0.44920000000000004</v>
      </c>
      <c r="P444">
        <v>2.0699999999999998</v>
      </c>
      <c r="Q444">
        <v>0.48100000000000004</v>
      </c>
      <c r="R444">
        <v>0</v>
      </c>
      <c r="S444">
        <v>39.950000000000003</v>
      </c>
      <c r="T444">
        <v>45.66</v>
      </c>
      <c r="U444">
        <v>90000</v>
      </c>
      <c r="V444">
        <v>8190000</v>
      </c>
    </row>
    <row r="445" spans="1:22" x14ac:dyDescent="0.25">
      <c r="A445" t="s">
        <v>42</v>
      </c>
      <c r="B445" t="s">
        <v>43</v>
      </c>
      <c r="C445" t="str">
        <f t="shared" si="12"/>
        <v>2021</v>
      </c>
      <c r="D445" t="str">
        <f t="shared" si="13"/>
        <v>01</v>
      </c>
      <c r="E445" t="s">
        <v>37</v>
      </c>
      <c r="F445" t="s">
        <v>116</v>
      </c>
      <c r="G445" t="s">
        <v>117</v>
      </c>
      <c r="H445" t="s">
        <v>118</v>
      </c>
      <c r="I445" t="s">
        <v>26</v>
      </c>
      <c r="J445">
        <v>704</v>
      </c>
      <c r="K445">
        <v>2231.7800000000002</v>
      </c>
      <c r="L445">
        <v>702.46</v>
      </c>
      <c r="M445">
        <v>0.31480000000000002</v>
      </c>
      <c r="N445">
        <v>-494.45</v>
      </c>
      <c r="O445">
        <v>-0.22159999999999999</v>
      </c>
      <c r="P445">
        <v>1.77</v>
      </c>
      <c r="Q445">
        <v>0.32799999999999996</v>
      </c>
      <c r="R445">
        <v>0</v>
      </c>
      <c r="S445">
        <v>75.489999999999995</v>
      </c>
      <c r="T445">
        <v>85.77</v>
      </c>
      <c r="U445">
        <v>90000</v>
      </c>
      <c r="V445">
        <v>8190000</v>
      </c>
    </row>
    <row r="446" spans="1:22" x14ac:dyDescent="0.25">
      <c r="A446" t="s">
        <v>44</v>
      </c>
      <c r="B446" t="s">
        <v>45</v>
      </c>
      <c r="C446" t="str">
        <f t="shared" si="12"/>
        <v>2021</v>
      </c>
      <c r="D446" t="str">
        <f t="shared" si="13"/>
        <v>04</v>
      </c>
      <c r="E446" t="s">
        <v>37</v>
      </c>
      <c r="F446" t="s">
        <v>116</v>
      </c>
      <c r="G446" t="s">
        <v>117</v>
      </c>
      <c r="H446" t="s">
        <v>118</v>
      </c>
      <c r="I446" t="s">
        <v>26</v>
      </c>
      <c r="J446">
        <v>704</v>
      </c>
      <c r="K446">
        <v>2235.91</v>
      </c>
      <c r="L446">
        <v>744.63</v>
      </c>
      <c r="M446">
        <v>0.33299999999999996</v>
      </c>
      <c r="N446">
        <v>-552.73</v>
      </c>
      <c r="O446">
        <v>-0.24719999999999998</v>
      </c>
      <c r="P446">
        <v>1.78</v>
      </c>
      <c r="Q446">
        <v>0.18</v>
      </c>
      <c r="R446">
        <v>1.37</v>
      </c>
      <c r="S446">
        <v>76.83</v>
      </c>
      <c r="T446">
        <v>90.92</v>
      </c>
      <c r="U446">
        <v>90000</v>
      </c>
      <c r="V446">
        <v>8190000</v>
      </c>
    </row>
    <row r="447" spans="1:22" x14ac:dyDescent="0.25">
      <c r="A447" t="s">
        <v>46</v>
      </c>
      <c r="B447" t="s">
        <v>47</v>
      </c>
      <c r="C447" t="str">
        <f t="shared" si="12"/>
        <v>2021</v>
      </c>
      <c r="D447" t="str">
        <f t="shared" si="13"/>
        <v>07</v>
      </c>
      <c r="E447" t="s">
        <v>48</v>
      </c>
      <c r="F447" t="s">
        <v>116</v>
      </c>
      <c r="G447" t="s">
        <v>117</v>
      </c>
      <c r="H447" t="s">
        <v>118</v>
      </c>
      <c r="I447" t="s">
        <v>26</v>
      </c>
      <c r="J447">
        <v>704</v>
      </c>
      <c r="K447">
        <v>7142.84</v>
      </c>
      <c r="L447">
        <v>736.44</v>
      </c>
      <c r="M447">
        <v>0.10310000000000001</v>
      </c>
      <c r="N447">
        <v>240.12</v>
      </c>
      <c r="O447">
        <v>3.3599999999999998E-2</v>
      </c>
      <c r="P447">
        <v>5.74</v>
      </c>
      <c r="Q447">
        <v>0.56499999999999995</v>
      </c>
      <c r="R447">
        <v>0</v>
      </c>
      <c r="S447">
        <v>78.97</v>
      </c>
      <c r="T447">
        <v>89.92</v>
      </c>
      <c r="U447">
        <v>90000</v>
      </c>
      <c r="V447">
        <v>8190000</v>
      </c>
    </row>
    <row r="448" spans="1:22" x14ac:dyDescent="0.25">
      <c r="A448" t="s">
        <v>49</v>
      </c>
      <c r="B448" t="s">
        <v>50</v>
      </c>
      <c r="C448" t="str">
        <f t="shared" si="12"/>
        <v>2021</v>
      </c>
      <c r="D448" t="str">
        <f t="shared" si="13"/>
        <v>10</v>
      </c>
      <c r="E448" t="s">
        <v>48</v>
      </c>
      <c r="F448" t="s">
        <v>116</v>
      </c>
      <c r="G448" t="s">
        <v>117</v>
      </c>
      <c r="H448" t="s">
        <v>118</v>
      </c>
      <c r="I448" t="s">
        <v>26</v>
      </c>
      <c r="J448">
        <v>704</v>
      </c>
      <c r="K448">
        <v>6403.27</v>
      </c>
      <c r="L448">
        <v>853.81</v>
      </c>
      <c r="M448">
        <v>0.1333</v>
      </c>
      <c r="N448">
        <v>412.16</v>
      </c>
      <c r="O448">
        <v>6.4399999999999999E-2</v>
      </c>
      <c r="P448">
        <v>5.21</v>
      </c>
      <c r="Q448">
        <v>7.0999999999999994E-2</v>
      </c>
      <c r="R448">
        <v>9.6</v>
      </c>
      <c r="S448">
        <v>86.82</v>
      </c>
      <c r="T448">
        <v>104.25</v>
      </c>
      <c r="U448">
        <v>90000</v>
      </c>
      <c r="V448">
        <v>8190000</v>
      </c>
    </row>
    <row r="449" spans="1:22" x14ac:dyDescent="0.25">
      <c r="A449" t="s">
        <v>51</v>
      </c>
      <c r="B449" t="s">
        <v>52</v>
      </c>
      <c r="C449" t="str">
        <f t="shared" si="12"/>
        <v>2022</v>
      </c>
      <c r="D449" t="str">
        <f t="shared" si="13"/>
        <v>01</v>
      </c>
      <c r="E449" t="s">
        <v>48</v>
      </c>
      <c r="F449" t="s">
        <v>116</v>
      </c>
      <c r="G449" t="s">
        <v>117</v>
      </c>
      <c r="H449" t="s">
        <v>118</v>
      </c>
      <c r="I449" t="s">
        <v>26</v>
      </c>
      <c r="J449">
        <v>704</v>
      </c>
      <c r="K449">
        <v>6959.22</v>
      </c>
      <c r="L449">
        <v>666.99</v>
      </c>
      <c r="M449">
        <v>9.5799999999999996E-2</v>
      </c>
      <c r="N449">
        <v>46.91</v>
      </c>
      <c r="O449">
        <v>6.7000000000000002E-3</v>
      </c>
      <c r="P449">
        <v>5.12</v>
      </c>
      <c r="Q449">
        <v>0.45799999999999996</v>
      </c>
      <c r="R449">
        <v>0</v>
      </c>
      <c r="S449">
        <v>72.010000000000005</v>
      </c>
      <c r="T449">
        <v>81.44</v>
      </c>
      <c r="U449">
        <v>90000</v>
      </c>
      <c r="V449">
        <v>8190000</v>
      </c>
    </row>
    <row r="450" spans="1:22" x14ac:dyDescent="0.25">
      <c r="A450" t="s">
        <v>53</v>
      </c>
      <c r="B450" t="s">
        <v>54</v>
      </c>
      <c r="C450" t="str">
        <f t="shared" si="12"/>
        <v>2022</v>
      </c>
      <c r="D450" t="str">
        <f t="shared" si="13"/>
        <v>04</v>
      </c>
      <c r="E450" t="s">
        <v>55</v>
      </c>
      <c r="F450" t="s">
        <v>116</v>
      </c>
      <c r="G450" t="s">
        <v>117</v>
      </c>
      <c r="H450" t="s">
        <v>118</v>
      </c>
      <c r="I450" t="s">
        <v>26</v>
      </c>
      <c r="J450">
        <v>704</v>
      </c>
      <c r="K450">
        <v>8425.81</v>
      </c>
      <c r="L450">
        <v>1078.05</v>
      </c>
      <c r="M450">
        <v>0.12789999999999999</v>
      </c>
      <c r="N450">
        <v>721.21</v>
      </c>
      <c r="O450">
        <v>8.5600000000000009E-2</v>
      </c>
      <c r="P450">
        <v>5.72</v>
      </c>
      <c r="Q450">
        <v>0.376</v>
      </c>
      <c r="R450">
        <v>187.5</v>
      </c>
      <c r="S450">
        <v>109.53</v>
      </c>
      <c r="T450">
        <v>131.63</v>
      </c>
      <c r="U450">
        <v>90000</v>
      </c>
      <c r="V450">
        <v>8190000</v>
      </c>
    </row>
    <row r="451" spans="1:22" x14ac:dyDescent="0.25">
      <c r="A451" t="s">
        <v>56</v>
      </c>
      <c r="B451" t="s">
        <v>57</v>
      </c>
      <c r="C451" t="str">
        <f t="shared" ref="C451:C514" si="14">LEFT(B451,4)</f>
        <v>2022</v>
      </c>
      <c r="D451" t="str">
        <f t="shared" ref="D451:D514" si="15">RIGHT(B451,2)</f>
        <v>07</v>
      </c>
      <c r="E451" t="s">
        <v>55</v>
      </c>
      <c r="F451" t="s">
        <v>116</v>
      </c>
      <c r="G451" t="s">
        <v>117</v>
      </c>
      <c r="H451" t="s">
        <v>118</v>
      </c>
      <c r="I451" t="s">
        <v>26</v>
      </c>
      <c r="J451">
        <v>704</v>
      </c>
      <c r="K451">
        <v>8600.16</v>
      </c>
      <c r="L451">
        <v>773.87</v>
      </c>
      <c r="M451">
        <v>0.09</v>
      </c>
      <c r="N451">
        <v>631.23</v>
      </c>
      <c r="O451">
        <v>7.3399999999999993E-2</v>
      </c>
      <c r="P451">
        <v>6.49</v>
      </c>
      <c r="Q451">
        <v>0.65</v>
      </c>
      <c r="R451">
        <v>25.09</v>
      </c>
      <c r="S451">
        <v>80.69</v>
      </c>
      <c r="T451">
        <v>94.49</v>
      </c>
      <c r="U451">
        <v>90000</v>
      </c>
      <c r="V451">
        <v>8190000</v>
      </c>
    </row>
    <row r="452" spans="1:22" x14ac:dyDescent="0.25">
      <c r="A452" t="s">
        <v>58</v>
      </c>
      <c r="B452" t="s">
        <v>59</v>
      </c>
      <c r="C452" t="str">
        <f t="shared" si="14"/>
        <v>2022</v>
      </c>
      <c r="D452" t="str">
        <f t="shared" si="15"/>
        <v>10</v>
      </c>
      <c r="E452" t="s">
        <v>55</v>
      </c>
      <c r="F452" t="s">
        <v>116</v>
      </c>
      <c r="G452" t="s">
        <v>117</v>
      </c>
      <c r="H452" t="s">
        <v>118</v>
      </c>
      <c r="I452" t="s">
        <v>26</v>
      </c>
      <c r="J452">
        <v>704</v>
      </c>
      <c r="K452">
        <v>9759.43</v>
      </c>
      <c r="L452">
        <v>864.54</v>
      </c>
      <c r="M452">
        <v>8.8599999999999998E-2</v>
      </c>
      <c r="N452">
        <v>458.02</v>
      </c>
      <c r="O452">
        <v>4.6900000000000004E-2</v>
      </c>
      <c r="P452">
        <v>7.37</v>
      </c>
      <c r="Q452">
        <v>0.20699999999999999</v>
      </c>
      <c r="R452">
        <v>30.94</v>
      </c>
      <c r="S452">
        <v>93.25</v>
      </c>
      <c r="T452">
        <v>105.56</v>
      </c>
      <c r="U452">
        <v>90000</v>
      </c>
      <c r="V452">
        <v>8190000</v>
      </c>
    </row>
    <row r="453" spans="1:22" x14ac:dyDescent="0.25">
      <c r="A453" t="s">
        <v>60</v>
      </c>
      <c r="B453" t="s">
        <v>61</v>
      </c>
      <c r="C453" t="str">
        <f t="shared" si="14"/>
        <v>2023</v>
      </c>
      <c r="D453" t="str">
        <f t="shared" si="15"/>
        <v>01</v>
      </c>
      <c r="E453" t="s">
        <v>62</v>
      </c>
      <c r="F453" t="s">
        <v>116</v>
      </c>
      <c r="G453" t="s">
        <v>117</v>
      </c>
      <c r="H453" t="s">
        <v>118</v>
      </c>
      <c r="I453" t="s">
        <v>26</v>
      </c>
      <c r="J453">
        <v>704</v>
      </c>
      <c r="K453">
        <v>9507.16</v>
      </c>
      <c r="L453">
        <v>795.49</v>
      </c>
      <c r="M453">
        <v>8.3699999999999997E-2</v>
      </c>
      <c r="N453">
        <v>781.88</v>
      </c>
      <c r="O453">
        <v>8.2200000000000009E-2</v>
      </c>
      <c r="P453">
        <v>6.59</v>
      </c>
      <c r="Q453">
        <v>0.43</v>
      </c>
      <c r="R453">
        <v>27.1</v>
      </c>
      <c r="S453">
        <v>84.29</v>
      </c>
      <c r="T453">
        <v>97.13</v>
      </c>
      <c r="U453">
        <v>90000</v>
      </c>
      <c r="V453">
        <v>8190000</v>
      </c>
    </row>
    <row r="454" spans="1:22" x14ac:dyDescent="0.25">
      <c r="A454" t="s">
        <v>63</v>
      </c>
      <c r="B454" t="s">
        <v>64</v>
      </c>
      <c r="C454" t="str">
        <f t="shared" si="14"/>
        <v>2023</v>
      </c>
      <c r="D454" t="str">
        <f t="shared" si="15"/>
        <v>04</v>
      </c>
      <c r="E454" t="s">
        <v>62</v>
      </c>
      <c r="F454" t="s">
        <v>116</v>
      </c>
      <c r="G454" t="s">
        <v>117</v>
      </c>
      <c r="H454" t="s">
        <v>118</v>
      </c>
      <c r="I454" t="s">
        <v>26</v>
      </c>
      <c r="J454">
        <v>704</v>
      </c>
      <c r="K454">
        <v>8658.09</v>
      </c>
      <c r="L454">
        <v>835.13</v>
      </c>
      <c r="M454">
        <v>9.6500000000000002E-2</v>
      </c>
      <c r="N454">
        <v>603.72</v>
      </c>
      <c r="O454">
        <v>6.9699999999999998E-2</v>
      </c>
      <c r="P454">
        <v>7.03</v>
      </c>
      <c r="Q454">
        <v>6.0999999999999999E-2</v>
      </c>
      <c r="R454">
        <v>6.78</v>
      </c>
      <c r="S454">
        <v>88.18</v>
      </c>
      <c r="T454">
        <v>101.97</v>
      </c>
      <c r="U454">
        <v>90000</v>
      </c>
      <c r="V454">
        <v>8190000</v>
      </c>
    </row>
    <row r="455" spans="1:22" x14ac:dyDescent="0.25">
      <c r="A455" t="s">
        <v>65</v>
      </c>
      <c r="B455" t="s">
        <v>66</v>
      </c>
      <c r="C455" t="str">
        <f t="shared" si="14"/>
        <v>2023</v>
      </c>
      <c r="D455" t="str">
        <f t="shared" si="15"/>
        <v>07</v>
      </c>
      <c r="E455" t="s">
        <v>62</v>
      </c>
      <c r="F455" t="s">
        <v>116</v>
      </c>
      <c r="G455" t="s">
        <v>117</v>
      </c>
      <c r="H455" t="s">
        <v>118</v>
      </c>
      <c r="I455" t="s">
        <v>26</v>
      </c>
      <c r="J455">
        <v>704</v>
      </c>
      <c r="K455">
        <v>9241.74</v>
      </c>
      <c r="L455">
        <v>798.69</v>
      </c>
      <c r="M455">
        <v>8.6400000000000005E-2</v>
      </c>
      <c r="N455">
        <v>1104.47</v>
      </c>
      <c r="O455">
        <v>0.1195</v>
      </c>
      <c r="P455">
        <v>7.5</v>
      </c>
      <c r="Q455">
        <v>0.36399999999999999</v>
      </c>
      <c r="R455">
        <v>24.29</v>
      </c>
      <c r="S455">
        <v>85.16</v>
      </c>
      <c r="T455">
        <v>97.52</v>
      </c>
      <c r="U455">
        <v>90000</v>
      </c>
      <c r="V455">
        <v>8190000</v>
      </c>
    </row>
    <row r="456" spans="1:22" x14ac:dyDescent="0.25">
      <c r="A456" t="s">
        <v>67</v>
      </c>
      <c r="B456" t="s">
        <v>68</v>
      </c>
      <c r="C456" t="str">
        <f t="shared" si="14"/>
        <v>2023</v>
      </c>
      <c r="D456" t="str">
        <f t="shared" si="15"/>
        <v>10</v>
      </c>
      <c r="E456" t="s">
        <v>69</v>
      </c>
      <c r="F456" t="s">
        <v>116</v>
      </c>
      <c r="G456" t="s">
        <v>117</v>
      </c>
      <c r="H456" t="s">
        <v>118</v>
      </c>
      <c r="I456" t="s">
        <v>26</v>
      </c>
      <c r="J456">
        <v>704</v>
      </c>
      <c r="K456">
        <v>8826.2099999999991</v>
      </c>
      <c r="L456">
        <v>736.77</v>
      </c>
      <c r="M456">
        <v>8.3499999999999991E-2</v>
      </c>
      <c r="N456">
        <v>1183.47</v>
      </c>
      <c r="O456">
        <v>0.1341</v>
      </c>
      <c r="P456">
        <v>6.95</v>
      </c>
      <c r="Q456">
        <v>0.25700000000000001</v>
      </c>
      <c r="R456">
        <v>0</v>
      </c>
      <c r="S456">
        <v>78.33</v>
      </c>
      <c r="T456">
        <v>89.96</v>
      </c>
      <c r="U456">
        <v>90000</v>
      </c>
      <c r="V456">
        <v>8190000</v>
      </c>
    </row>
    <row r="457" spans="1:22" x14ac:dyDescent="0.25">
      <c r="A457" t="s">
        <v>70</v>
      </c>
      <c r="B457" t="s">
        <v>71</v>
      </c>
      <c r="C457" t="str">
        <f t="shared" si="14"/>
        <v>2024</v>
      </c>
      <c r="D457" t="str">
        <f t="shared" si="15"/>
        <v>01</v>
      </c>
      <c r="E457" t="s">
        <v>69</v>
      </c>
      <c r="F457" t="s">
        <v>116</v>
      </c>
      <c r="G457" t="s">
        <v>117</v>
      </c>
      <c r="H457" t="s">
        <v>118</v>
      </c>
      <c r="I457" t="s">
        <v>26</v>
      </c>
      <c r="J457">
        <v>704</v>
      </c>
      <c r="K457">
        <v>8972.67</v>
      </c>
      <c r="L457">
        <v>810.97</v>
      </c>
      <c r="M457">
        <v>9.0399999999999994E-2</v>
      </c>
      <c r="N457">
        <v>401.72</v>
      </c>
      <c r="O457">
        <v>4.4800000000000006E-2</v>
      </c>
      <c r="P457">
        <v>6.32</v>
      </c>
      <c r="Q457">
        <v>0.505</v>
      </c>
      <c r="R457">
        <v>41.05</v>
      </c>
      <c r="S457">
        <v>84.61</v>
      </c>
      <c r="T457">
        <v>99.02</v>
      </c>
      <c r="U457">
        <v>90000</v>
      </c>
      <c r="V457">
        <v>8190000</v>
      </c>
    </row>
    <row r="458" spans="1:22" x14ac:dyDescent="0.25">
      <c r="A458" t="s">
        <v>72</v>
      </c>
      <c r="B458" t="s">
        <v>73</v>
      </c>
      <c r="C458" t="str">
        <f t="shared" si="14"/>
        <v>2024</v>
      </c>
      <c r="D458" t="str">
        <f t="shared" si="15"/>
        <v>04</v>
      </c>
      <c r="E458" t="s">
        <v>69</v>
      </c>
      <c r="F458" t="s">
        <v>116</v>
      </c>
      <c r="G458" t="s">
        <v>117</v>
      </c>
      <c r="H458" t="s">
        <v>118</v>
      </c>
      <c r="I458" t="s">
        <v>26</v>
      </c>
      <c r="J458">
        <v>704</v>
      </c>
      <c r="K458">
        <v>8773.51</v>
      </c>
      <c r="L458">
        <v>833.58</v>
      </c>
      <c r="M458">
        <v>9.5000000000000001E-2</v>
      </c>
      <c r="N458">
        <v>464.48</v>
      </c>
      <c r="O458">
        <v>5.2900000000000003E-2</v>
      </c>
      <c r="P458">
        <v>6.18</v>
      </c>
      <c r="Q458">
        <v>0.25700000000000001</v>
      </c>
      <c r="R458">
        <v>28.04</v>
      </c>
      <c r="S458">
        <v>84.06</v>
      </c>
      <c r="T458">
        <v>101.78</v>
      </c>
      <c r="U458">
        <v>90000</v>
      </c>
      <c r="V458">
        <v>8190000</v>
      </c>
    </row>
    <row r="459" spans="1:22" x14ac:dyDescent="0.25">
      <c r="A459" t="s">
        <v>74</v>
      </c>
      <c r="B459" t="s">
        <v>75</v>
      </c>
      <c r="C459" t="str">
        <f t="shared" si="14"/>
        <v>2024</v>
      </c>
      <c r="D459" t="str">
        <f t="shared" si="15"/>
        <v>07</v>
      </c>
      <c r="E459" t="s">
        <v>69</v>
      </c>
      <c r="F459" t="s">
        <v>116</v>
      </c>
      <c r="G459" t="s">
        <v>117</v>
      </c>
      <c r="H459" t="s">
        <v>118</v>
      </c>
      <c r="I459" t="s">
        <v>26</v>
      </c>
      <c r="J459">
        <v>704</v>
      </c>
      <c r="K459">
        <v>8868.67</v>
      </c>
      <c r="L459">
        <v>769.7</v>
      </c>
      <c r="M459">
        <v>8.6800000000000002E-2</v>
      </c>
      <c r="N459">
        <v>1156.74</v>
      </c>
      <c r="O459">
        <v>0.13039999999999999</v>
      </c>
      <c r="P459">
        <v>6.33</v>
      </c>
      <c r="Q459">
        <v>0.59799999999999998</v>
      </c>
      <c r="R459">
        <v>20.350000000000001</v>
      </c>
      <c r="S459">
        <v>80.400000000000006</v>
      </c>
      <c r="T459">
        <v>93.98</v>
      </c>
      <c r="U459">
        <v>90000</v>
      </c>
      <c r="V459">
        <v>8190000</v>
      </c>
    </row>
    <row r="460" spans="1:22" x14ac:dyDescent="0.25">
      <c r="A460" t="s">
        <v>76</v>
      </c>
      <c r="B460" t="s">
        <v>77</v>
      </c>
      <c r="C460" t="str">
        <f t="shared" si="14"/>
        <v>2024</v>
      </c>
      <c r="D460" t="str">
        <f t="shared" si="15"/>
        <v>10</v>
      </c>
      <c r="E460" t="s">
        <v>69</v>
      </c>
      <c r="F460" t="s">
        <v>116</v>
      </c>
      <c r="G460" t="s">
        <v>117</v>
      </c>
      <c r="H460" t="s">
        <v>118</v>
      </c>
      <c r="I460" t="s">
        <v>26</v>
      </c>
      <c r="J460">
        <v>704</v>
      </c>
      <c r="K460">
        <v>9810.19</v>
      </c>
      <c r="L460">
        <v>921.54</v>
      </c>
      <c r="M460">
        <v>9.3900000000000011E-2</v>
      </c>
      <c r="N460">
        <v>1132.8800000000001</v>
      </c>
      <c r="O460">
        <v>0.11550000000000001</v>
      </c>
      <c r="P460">
        <v>6.64</v>
      </c>
      <c r="Q460">
        <v>0.156</v>
      </c>
      <c r="R460">
        <v>35.97</v>
      </c>
      <c r="S460">
        <v>94.78</v>
      </c>
      <c r="T460">
        <v>112.52</v>
      </c>
      <c r="U460">
        <v>90000</v>
      </c>
      <c r="V460">
        <v>8190000</v>
      </c>
    </row>
    <row r="461" spans="1:22" x14ac:dyDescent="0.25">
      <c r="A461" t="s">
        <v>78</v>
      </c>
      <c r="B461" t="s">
        <v>79</v>
      </c>
      <c r="C461" t="str">
        <f t="shared" si="14"/>
        <v>2025</v>
      </c>
      <c r="D461" t="str">
        <f t="shared" si="15"/>
        <v>01</v>
      </c>
      <c r="E461" t="s">
        <v>80</v>
      </c>
      <c r="F461" t="s">
        <v>116</v>
      </c>
      <c r="G461" t="s">
        <v>117</v>
      </c>
      <c r="H461" t="s">
        <v>118</v>
      </c>
      <c r="I461" t="s">
        <v>26</v>
      </c>
      <c r="J461">
        <v>704</v>
      </c>
      <c r="K461">
        <v>8961.26</v>
      </c>
      <c r="L461">
        <v>831.61</v>
      </c>
      <c r="M461">
        <v>9.2799999999999994E-2</v>
      </c>
      <c r="N461">
        <v>844.83</v>
      </c>
      <c r="O461">
        <v>9.4299999999999995E-2</v>
      </c>
      <c r="P461">
        <v>6.27</v>
      </c>
      <c r="Q461">
        <v>0.05</v>
      </c>
      <c r="R461">
        <v>5.33</v>
      </c>
      <c r="S461">
        <v>85.13</v>
      </c>
      <c r="T461">
        <v>101.54</v>
      </c>
      <c r="U461">
        <v>90000</v>
      </c>
      <c r="V461">
        <v>8190000</v>
      </c>
    </row>
    <row r="462" spans="1:22" x14ac:dyDescent="0.25">
      <c r="A462" t="s">
        <v>81</v>
      </c>
      <c r="B462" t="s">
        <v>82</v>
      </c>
      <c r="C462" t="str">
        <f t="shared" si="14"/>
        <v>2025</v>
      </c>
      <c r="D462" t="str">
        <f t="shared" si="15"/>
        <v>04</v>
      </c>
      <c r="E462" t="s">
        <v>80</v>
      </c>
      <c r="F462" t="s">
        <v>116</v>
      </c>
      <c r="G462" t="s">
        <v>117</v>
      </c>
      <c r="H462" t="s">
        <v>118</v>
      </c>
      <c r="I462" t="s">
        <v>26</v>
      </c>
      <c r="J462">
        <v>704</v>
      </c>
      <c r="K462">
        <v>8853.6299999999992</v>
      </c>
      <c r="L462">
        <v>986.32</v>
      </c>
      <c r="M462">
        <v>0.1114</v>
      </c>
      <c r="N462">
        <v>643.97</v>
      </c>
      <c r="O462">
        <v>7.2700000000000001E-2</v>
      </c>
      <c r="P462">
        <v>6.05</v>
      </c>
      <c r="Q462">
        <v>0.127</v>
      </c>
      <c r="R462">
        <v>42.35</v>
      </c>
      <c r="S462">
        <v>101.77</v>
      </c>
      <c r="T462">
        <v>120.43</v>
      </c>
      <c r="U462">
        <v>90000</v>
      </c>
      <c r="V462">
        <v>8190000</v>
      </c>
    </row>
    <row r="463" spans="1:22" x14ac:dyDescent="0.25">
      <c r="A463" t="s">
        <v>83</v>
      </c>
      <c r="B463" t="s">
        <v>84</v>
      </c>
      <c r="C463" t="str">
        <f t="shared" si="14"/>
        <v>2025</v>
      </c>
      <c r="D463" t="str">
        <f t="shared" si="15"/>
        <v>07</v>
      </c>
      <c r="E463" t="s">
        <v>80</v>
      </c>
      <c r="F463" t="s">
        <v>116</v>
      </c>
      <c r="G463" t="s">
        <v>117</v>
      </c>
      <c r="H463" t="s">
        <v>118</v>
      </c>
      <c r="I463" t="s">
        <v>26</v>
      </c>
      <c r="J463">
        <v>704</v>
      </c>
      <c r="K463">
        <v>8843.18</v>
      </c>
      <c r="L463">
        <v>919.08</v>
      </c>
      <c r="M463">
        <v>0.10390000000000001</v>
      </c>
      <c r="N463">
        <v>1036.74</v>
      </c>
      <c r="O463">
        <v>0.11720000000000001</v>
      </c>
      <c r="P463">
        <v>6.2</v>
      </c>
      <c r="Q463">
        <v>0.51500000000000001</v>
      </c>
      <c r="R463">
        <v>116.86</v>
      </c>
      <c r="S463">
        <v>93.24</v>
      </c>
      <c r="T463">
        <v>112.22</v>
      </c>
      <c r="U463">
        <v>90000</v>
      </c>
      <c r="V463">
        <v>8190000</v>
      </c>
    </row>
    <row r="464" spans="1:22" x14ac:dyDescent="0.25">
      <c r="A464" t="s">
        <v>85</v>
      </c>
      <c r="B464" t="s">
        <v>86</v>
      </c>
      <c r="C464" t="str">
        <f t="shared" si="14"/>
        <v>2025</v>
      </c>
      <c r="D464" t="str">
        <f t="shared" si="15"/>
        <v>10</v>
      </c>
      <c r="E464" t="s">
        <v>80</v>
      </c>
      <c r="F464" t="s">
        <v>116</v>
      </c>
      <c r="G464" t="s">
        <v>117</v>
      </c>
      <c r="H464" t="s">
        <v>118</v>
      </c>
      <c r="I464" t="s">
        <v>26</v>
      </c>
      <c r="J464">
        <v>704</v>
      </c>
      <c r="K464">
        <v>9246.18</v>
      </c>
      <c r="L464">
        <v>914.58</v>
      </c>
      <c r="M464">
        <v>9.8900000000000002E-2</v>
      </c>
      <c r="N464">
        <v>1070.57</v>
      </c>
      <c r="O464">
        <v>0.1158</v>
      </c>
      <c r="P464">
        <v>6.87</v>
      </c>
      <c r="Q464">
        <v>0.58599999999999997</v>
      </c>
      <c r="R464">
        <v>129.04</v>
      </c>
      <c r="S464">
        <v>99.34</v>
      </c>
      <c r="T464">
        <v>111.67</v>
      </c>
      <c r="U464">
        <v>90000</v>
      </c>
      <c r="V464">
        <v>8190000</v>
      </c>
    </row>
    <row r="465" spans="1:22" x14ac:dyDescent="0.25">
      <c r="A465" t="s">
        <v>87</v>
      </c>
      <c r="B465" t="s">
        <v>88</v>
      </c>
      <c r="C465" t="str">
        <f t="shared" si="14"/>
        <v>2026</v>
      </c>
      <c r="D465" t="str">
        <f t="shared" si="15"/>
        <v>01</v>
      </c>
      <c r="E465" t="s">
        <v>89</v>
      </c>
      <c r="F465" t="s">
        <v>116</v>
      </c>
      <c r="G465" t="s">
        <v>117</v>
      </c>
      <c r="H465" t="s">
        <v>118</v>
      </c>
      <c r="I465" t="s">
        <v>26</v>
      </c>
      <c r="J465">
        <v>704</v>
      </c>
      <c r="K465">
        <v>6873.26</v>
      </c>
      <c r="L465">
        <v>1202.29</v>
      </c>
      <c r="M465">
        <v>0.17489999999999997</v>
      </c>
      <c r="N465">
        <v>-664.22</v>
      </c>
      <c r="O465">
        <v>-9.6600000000000005E-2</v>
      </c>
      <c r="P465">
        <v>4.8099999999999996</v>
      </c>
      <c r="Q465">
        <v>0.57399999999999995</v>
      </c>
      <c r="R465">
        <v>435.54</v>
      </c>
      <c r="S465">
        <v>130.88</v>
      </c>
      <c r="T465">
        <v>146.80000000000001</v>
      </c>
      <c r="U465">
        <v>90000</v>
      </c>
      <c r="V465">
        <v>8190000</v>
      </c>
    </row>
    <row r="466" spans="1:22" x14ac:dyDescent="0.25">
      <c r="A466" t="s">
        <v>20</v>
      </c>
      <c r="B466" t="s">
        <v>21</v>
      </c>
      <c r="C466" t="str">
        <f t="shared" si="14"/>
        <v>2019</v>
      </c>
      <c r="D466" t="str">
        <f t="shared" si="15"/>
        <v>01</v>
      </c>
      <c r="E466" t="s">
        <v>22</v>
      </c>
      <c r="F466" t="s">
        <v>119</v>
      </c>
      <c r="G466" t="s">
        <v>120</v>
      </c>
      <c r="H466" t="s">
        <v>118</v>
      </c>
      <c r="I466" t="s">
        <v>26</v>
      </c>
      <c r="J466">
        <v>290</v>
      </c>
      <c r="K466">
        <v>3385.63</v>
      </c>
      <c r="L466">
        <v>420.78</v>
      </c>
      <c r="M466">
        <v>0.12429999999999999</v>
      </c>
      <c r="N466">
        <v>290.3</v>
      </c>
      <c r="O466">
        <v>8.5699999999999998E-2</v>
      </c>
      <c r="P466">
        <v>2.64</v>
      </c>
      <c r="Q466">
        <v>0.40500000000000003</v>
      </c>
      <c r="R466">
        <v>0</v>
      </c>
      <c r="S466">
        <v>63</v>
      </c>
      <c r="T466">
        <v>74.58</v>
      </c>
      <c r="U466">
        <v>62000</v>
      </c>
      <c r="V466">
        <v>5642000</v>
      </c>
    </row>
    <row r="467" spans="1:22" x14ac:dyDescent="0.25">
      <c r="A467" t="s">
        <v>27</v>
      </c>
      <c r="B467" t="s">
        <v>28</v>
      </c>
      <c r="C467" t="str">
        <f t="shared" si="14"/>
        <v>2019</v>
      </c>
      <c r="D467" t="str">
        <f t="shared" si="15"/>
        <v>04</v>
      </c>
      <c r="E467" t="s">
        <v>22</v>
      </c>
      <c r="F467" t="s">
        <v>119</v>
      </c>
      <c r="G467" t="s">
        <v>120</v>
      </c>
      <c r="H467" t="s">
        <v>118</v>
      </c>
      <c r="I467" t="s">
        <v>26</v>
      </c>
      <c r="J467">
        <v>290</v>
      </c>
      <c r="K467">
        <v>3575.99</v>
      </c>
      <c r="L467">
        <v>413.78</v>
      </c>
      <c r="M467">
        <v>0.1157</v>
      </c>
      <c r="N467">
        <v>353.66</v>
      </c>
      <c r="O467">
        <v>9.8900000000000002E-2</v>
      </c>
      <c r="P467">
        <v>3.04</v>
      </c>
      <c r="Q467">
        <v>9.1999999999999998E-2</v>
      </c>
      <c r="R467">
        <v>0</v>
      </c>
      <c r="S467">
        <v>64.790000000000006</v>
      </c>
      <c r="T467">
        <v>73.34</v>
      </c>
      <c r="U467">
        <v>62000</v>
      </c>
      <c r="V467">
        <v>5642000</v>
      </c>
    </row>
    <row r="468" spans="1:22" x14ac:dyDescent="0.25">
      <c r="A468" t="s">
        <v>29</v>
      </c>
      <c r="B468" t="s">
        <v>30</v>
      </c>
      <c r="C468" t="str">
        <f t="shared" si="14"/>
        <v>2019</v>
      </c>
      <c r="D468" t="str">
        <f t="shared" si="15"/>
        <v>07</v>
      </c>
      <c r="E468" t="s">
        <v>22</v>
      </c>
      <c r="F468" t="s">
        <v>119</v>
      </c>
      <c r="G468" t="s">
        <v>120</v>
      </c>
      <c r="H468" t="s">
        <v>118</v>
      </c>
      <c r="I468" t="s">
        <v>26</v>
      </c>
      <c r="J468">
        <v>290</v>
      </c>
      <c r="K468">
        <v>3485.17</v>
      </c>
      <c r="L468">
        <v>401.2</v>
      </c>
      <c r="M468">
        <v>0.11509999999999999</v>
      </c>
      <c r="N468">
        <v>419.2</v>
      </c>
      <c r="O468">
        <v>0.12029999999999999</v>
      </c>
      <c r="P468">
        <v>2.61</v>
      </c>
      <c r="Q468">
        <v>0.58899999999999997</v>
      </c>
      <c r="R468">
        <v>0</v>
      </c>
      <c r="S468">
        <v>60.46</v>
      </c>
      <c r="T468">
        <v>71.11</v>
      </c>
      <c r="U468">
        <v>62000</v>
      </c>
      <c r="V468">
        <v>5642000</v>
      </c>
    </row>
    <row r="469" spans="1:22" x14ac:dyDescent="0.25">
      <c r="A469" t="s">
        <v>31</v>
      </c>
      <c r="B469" t="s">
        <v>32</v>
      </c>
      <c r="C469" t="str">
        <f t="shared" si="14"/>
        <v>2019</v>
      </c>
      <c r="D469" t="str">
        <f t="shared" si="15"/>
        <v>10</v>
      </c>
      <c r="E469" t="s">
        <v>22</v>
      </c>
      <c r="F469" t="s">
        <v>119</v>
      </c>
      <c r="G469" t="s">
        <v>120</v>
      </c>
      <c r="H469" t="s">
        <v>118</v>
      </c>
      <c r="I469" t="s">
        <v>26</v>
      </c>
      <c r="J469">
        <v>290</v>
      </c>
      <c r="K469">
        <v>3622.08</v>
      </c>
      <c r="L469">
        <v>434.26</v>
      </c>
      <c r="M469">
        <v>0.11990000000000001</v>
      </c>
      <c r="N469">
        <v>174.54</v>
      </c>
      <c r="O469">
        <v>4.82E-2</v>
      </c>
      <c r="P469">
        <v>2.6</v>
      </c>
      <c r="Q469">
        <v>0.496</v>
      </c>
      <c r="R469">
        <v>0</v>
      </c>
      <c r="S469">
        <v>65.66</v>
      </c>
      <c r="T469">
        <v>76.97</v>
      </c>
      <c r="U469">
        <v>62000</v>
      </c>
      <c r="V469">
        <v>5642000</v>
      </c>
    </row>
    <row r="470" spans="1:22" x14ac:dyDescent="0.25">
      <c r="A470" t="s">
        <v>33</v>
      </c>
      <c r="B470" t="s">
        <v>34</v>
      </c>
      <c r="C470" t="str">
        <f t="shared" si="14"/>
        <v>2020</v>
      </c>
      <c r="D470" t="str">
        <f t="shared" si="15"/>
        <v>01</v>
      </c>
      <c r="E470" t="s">
        <v>22</v>
      </c>
      <c r="F470" t="s">
        <v>119</v>
      </c>
      <c r="G470" t="s">
        <v>120</v>
      </c>
      <c r="H470" t="s">
        <v>118</v>
      </c>
      <c r="I470" t="s">
        <v>26</v>
      </c>
      <c r="J470">
        <v>290</v>
      </c>
      <c r="K470">
        <v>3767.71</v>
      </c>
      <c r="L470">
        <v>425.29</v>
      </c>
      <c r="M470">
        <v>0.11289999999999999</v>
      </c>
      <c r="N470">
        <v>241.08</v>
      </c>
      <c r="O470">
        <v>6.4000000000000001E-2</v>
      </c>
      <c r="P470">
        <v>2.83</v>
      </c>
      <c r="Q470">
        <v>0.62</v>
      </c>
      <c r="R470">
        <v>0</v>
      </c>
      <c r="S470">
        <v>66.66</v>
      </c>
      <c r="T470">
        <v>75.38</v>
      </c>
      <c r="U470">
        <v>62000</v>
      </c>
      <c r="V470">
        <v>5642000</v>
      </c>
    </row>
    <row r="471" spans="1:22" x14ac:dyDescent="0.25">
      <c r="A471" t="s">
        <v>35</v>
      </c>
      <c r="B471" t="s">
        <v>36</v>
      </c>
      <c r="C471" t="str">
        <f t="shared" si="14"/>
        <v>2020</v>
      </c>
      <c r="D471" t="str">
        <f t="shared" si="15"/>
        <v>04</v>
      </c>
      <c r="E471" t="s">
        <v>37</v>
      </c>
      <c r="F471" t="s">
        <v>119</v>
      </c>
      <c r="G471" t="s">
        <v>120</v>
      </c>
      <c r="H471" t="s">
        <v>118</v>
      </c>
      <c r="I471" t="s">
        <v>26</v>
      </c>
      <c r="J471">
        <v>290</v>
      </c>
      <c r="K471">
        <v>998.39</v>
      </c>
      <c r="L471">
        <v>133.66</v>
      </c>
      <c r="M471">
        <v>0.13390000000000002</v>
      </c>
      <c r="N471">
        <v>-407.44</v>
      </c>
      <c r="O471">
        <v>-0.40810000000000002</v>
      </c>
      <c r="P471">
        <v>0.78</v>
      </c>
      <c r="Q471">
        <v>0.59200000000000008</v>
      </c>
      <c r="R471">
        <v>0</v>
      </c>
      <c r="S471">
        <v>20.57</v>
      </c>
      <c r="T471">
        <v>23.69</v>
      </c>
      <c r="U471">
        <v>62000</v>
      </c>
      <c r="V471">
        <v>5642000</v>
      </c>
    </row>
    <row r="472" spans="1:22" x14ac:dyDescent="0.25">
      <c r="A472" t="s">
        <v>38</v>
      </c>
      <c r="B472" t="s">
        <v>39</v>
      </c>
      <c r="C472" t="str">
        <f t="shared" si="14"/>
        <v>2020</v>
      </c>
      <c r="D472" t="str">
        <f t="shared" si="15"/>
        <v>07</v>
      </c>
      <c r="E472" t="s">
        <v>37</v>
      </c>
      <c r="F472" t="s">
        <v>119</v>
      </c>
      <c r="G472" t="s">
        <v>120</v>
      </c>
      <c r="H472" t="s">
        <v>118</v>
      </c>
      <c r="I472" t="s">
        <v>26</v>
      </c>
      <c r="J472">
        <v>290</v>
      </c>
      <c r="K472">
        <v>973.53</v>
      </c>
      <c r="L472">
        <v>284.52999999999997</v>
      </c>
      <c r="M472">
        <v>0.2923</v>
      </c>
      <c r="N472">
        <v>-338.92</v>
      </c>
      <c r="O472">
        <v>-0.34810000000000002</v>
      </c>
      <c r="P472">
        <v>0.72</v>
      </c>
      <c r="Q472">
        <v>0.47200000000000003</v>
      </c>
      <c r="R472">
        <v>0</v>
      </c>
      <c r="S472">
        <v>44.05</v>
      </c>
      <c r="T472">
        <v>50.43</v>
      </c>
      <c r="U472">
        <v>62000</v>
      </c>
      <c r="V472">
        <v>5642000</v>
      </c>
    </row>
    <row r="473" spans="1:22" x14ac:dyDescent="0.25">
      <c r="A473" t="s">
        <v>40</v>
      </c>
      <c r="B473" t="s">
        <v>41</v>
      </c>
      <c r="C473" t="str">
        <f t="shared" si="14"/>
        <v>2020</v>
      </c>
      <c r="D473" t="str">
        <f t="shared" si="15"/>
        <v>10</v>
      </c>
      <c r="E473" t="s">
        <v>37</v>
      </c>
      <c r="F473" t="s">
        <v>119</v>
      </c>
      <c r="G473" t="s">
        <v>120</v>
      </c>
      <c r="H473" t="s">
        <v>118</v>
      </c>
      <c r="I473" t="s">
        <v>26</v>
      </c>
      <c r="J473">
        <v>290</v>
      </c>
      <c r="K473">
        <v>728.72</v>
      </c>
      <c r="L473">
        <v>257.61</v>
      </c>
      <c r="M473">
        <v>0.35350000000000004</v>
      </c>
      <c r="N473">
        <v>-224.83</v>
      </c>
      <c r="O473">
        <v>-0.3085</v>
      </c>
      <c r="P473">
        <v>0.59</v>
      </c>
      <c r="Q473">
        <v>0.36099999999999999</v>
      </c>
      <c r="R473">
        <v>0</v>
      </c>
      <c r="S473">
        <v>39.950000000000003</v>
      </c>
      <c r="T473">
        <v>45.66</v>
      </c>
      <c r="U473">
        <v>62000</v>
      </c>
      <c r="V473">
        <v>5642000</v>
      </c>
    </row>
    <row r="474" spans="1:22" x14ac:dyDescent="0.25">
      <c r="A474" t="s">
        <v>42</v>
      </c>
      <c r="B474" t="s">
        <v>43</v>
      </c>
      <c r="C474" t="str">
        <f t="shared" si="14"/>
        <v>2021</v>
      </c>
      <c r="D474" t="str">
        <f t="shared" si="15"/>
        <v>01</v>
      </c>
      <c r="E474" t="s">
        <v>37</v>
      </c>
      <c r="F474" t="s">
        <v>119</v>
      </c>
      <c r="G474" t="s">
        <v>120</v>
      </c>
      <c r="H474" t="s">
        <v>118</v>
      </c>
      <c r="I474" t="s">
        <v>26</v>
      </c>
      <c r="J474">
        <v>290</v>
      </c>
      <c r="K474">
        <v>707.51</v>
      </c>
      <c r="L474">
        <v>483.91</v>
      </c>
      <c r="M474">
        <v>0.68400000000000005</v>
      </c>
      <c r="N474">
        <v>-193.1</v>
      </c>
      <c r="O474">
        <v>-0.27289999999999998</v>
      </c>
      <c r="P474">
        <v>0.56999999999999995</v>
      </c>
      <c r="Q474">
        <v>0.26200000000000001</v>
      </c>
      <c r="R474">
        <v>0</v>
      </c>
      <c r="S474">
        <v>75.489999999999995</v>
      </c>
      <c r="T474">
        <v>85.77</v>
      </c>
      <c r="U474">
        <v>62000</v>
      </c>
      <c r="V474">
        <v>5642000</v>
      </c>
    </row>
    <row r="475" spans="1:22" x14ac:dyDescent="0.25">
      <c r="A475" t="s">
        <v>44</v>
      </c>
      <c r="B475" t="s">
        <v>45</v>
      </c>
      <c r="C475" t="str">
        <f t="shared" si="14"/>
        <v>2021</v>
      </c>
      <c r="D475" t="str">
        <f t="shared" si="15"/>
        <v>04</v>
      </c>
      <c r="E475" t="s">
        <v>37</v>
      </c>
      <c r="F475" t="s">
        <v>119</v>
      </c>
      <c r="G475" t="s">
        <v>120</v>
      </c>
      <c r="H475" t="s">
        <v>118</v>
      </c>
      <c r="I475" t="s">
        <v>26</v>
      </c>
      <c r="J475">
        <v>290</v>
      </c>
      <c r="K475">
        <v>569.51</v>
      </c>
      <c r="L475">
        <v>512.97</v>
      </c>
      <c r="M475">
        <v>0.90069999999999995</v>
      </c>
      <c r="N475">
        <v>-209.12</v>
      </c>
      <c r="O475">
        <v>-0.36719999999999997</v>
      </c>
      <c r="P475">
        <v>0.44</v>
      </c>
      <c r="Q475">
        <v>0.51400000000000001</v>
      </c>
      <c r="R475">
        <v>2.7</v>
      </c>
      <c r="S475">
        <v>76.83</v>
      </c>
      <c r="T475">
        <v>90.92</v>
      </c>
      <c r="U475">
        <v>62000</v>
      </c>
      <c r="V475">
        <v>5642000</v>
      </c>
    </row>
    <row r="476" spans="1:22" x14ac:dyDescent="0.25">
      <c r="A476" t="s">
        <v>46</v>
      </c>
      <c r="B476" t="s">
        <v>47</v>
      </c>
      <c r="C476" t="str">
        <f t="shared" si="14"/>
        <v>2021</v>
      </c>
      <c r="D476" t="str">
        <f t="shared" si="15"/>
        <v>07</v>
      </c>
      <c r="E476" t="s">
        <v>48</v>
      </c>
      <c r="F476" t="s">
        <v>119</v>
      </c>
      <c r="G476" t="s">
        <v>120</v>
      </c>
      <c r="H476" t="s">
        <v>118</v>
      </c>
      <c r="I476" t="s">
        <v>26</v>
      </c>
      <c r="J476">
        <v>290</v>
      </c>
      <c r="K476">
        <v>2672.05</v>
      </c>
      <c r="L476">
        <v>507.33</v>
      </c>
      <c r="M476">
        <v>0.18989999999999999</v>
      </c>
      <c r="N476">
        <v>190.18</v>
      </c>
      <c r="O476">
        <v>7.1199999999999999E-2</v>
      </c>
      <c r="P476">
        <v>2.2200000000000002</v>
      </c>
      <c r="Q476">
        <v>0.35</v>
      </c>
      <c r="R476">
        <v>0</v>
      </c>
      <c r="S476">
        <v>78.97</v>
      </c>
      <c r="T476">
        <v>89.92</v>
      </c>
      <c r="U476">
        <v>62000</v>
      </c>
      <c r="V476">
        <v>5642000</v>
      </c>
    </row>
    <row r="477" spans="1:22" x14ac:dyDescent="0.25">
      <c r="A477" t="s">
        <v>49</v>
      </c>
      <c r="B477" t="s">
        <v>50</v>
      </c>
      <c r="C477" t="str">
        <f t="shared" si="14"/>
        <v>2021</v>
      </c>
      <c r="D477" t="str">
        <f t="shared" si="15"/>
        <v>10</v>
      </c>
      <c r="E477" t="s">
        <v>48</v>
      </c>
      <c r="F477" t="s">
        <v>119</v>
      </c>
      <c r="G477" t="s">
        <v>120</v>
      </c>
      <c r="H477" t="s">
        <v>118</v>
      </c>
      <c r="I477" t="s">
        <v>26</v>
      </c>
      <c r="J477">
        <v>290</v>
      </c>
      <c r="K477">
        <v>2427.41</v>
      </c>
      <c r="L477">
        <v>588.17999999999995</v>
      </c>
      <c r="M477">
        <v>0.24230000000000002</v>
      </c>
      <c r="N477">
        <v>-51.62</v>
      </c>
      <c r="O477">
        <v>-2.1299999999999999E-2</v>
      </c>
      <c r="P477">
        <v>1.79</v>
      </c>
      <c r="Q477">
        <v>0.28800000000000003</v>
      </c>
      <c r="R477">
        <v>26.82</v>
      </c>
      <c r="S477">
        <v>86.82</v>
      </c>
      <c r="T477">
        <v>104.25</v>
      </c>
      <c r="U477">
        <v>62000</v>
      </c>
      <c r="V477">
        <v>5642000</v>
      </c>
    </row>
    <row r="478" spans="1:22" x14ac:dyDescent="0.25">
      <c r="A478" t="s">
        <v>51</v>
      </c>
      <c r="B478" t="s">
        <v>52</v>
      </c>
      <c r="C478" t="str">
        <f t="shared" si="14"/>
        <v>2022</v>
      </c>
      <c r="D478" t="str">
        <f t="shared" si="15"/>
        <v>01</v>
      </c>
      <c r="E478" t="s">
        <v>48</v>
      </c>
      <c r="F478" t="s">
        <v>119</v>
      </c>
      <c r="G478" t="s">
        <v>120</v>
      </c>
      <c r="H478" t="s">
        <v>118</v>
      </c>
      <c r="I478" t="s">
        <v>26</v>
      </c>
      <c r="J478">
        <v>290</v>
      </c>
      <c r="K478">
        <v>2820.49</v>
      </c>
      <c r="L478">
        <v>459.48</v>
      </c>
      <c r="M478">
        <v>0.16289999999999999</v>
      </c>
      <c r="N478">
        <v>137.38999999999999</v>
      </c>
      <c r="O478">
        <v>4.87E-2</v>
      </c>
      <c r="P478">
        <v>2.0499999999999998</v>
      </c>
      <c r="Q478">
        <v>0.32200000000000001</v>
      </c>
      <c r="R478">
        <v>0</v>
      </c>
      <c r="S478">
        <v>72.010000000000005</v>
      </c>
      <c r="T478">
        <v>81.44</v>
      </c>
      <c r="U478">
        <v>62000</v>
      </c>
      <c r="V478">
        <v>5642000</v>
      </c>
    </row>
    <row r="479" spans="1:22" x14ac:dyDescent="0.25">
      <c r="A479" t="s">
        <v>53</v>
      </c>
      <c r="B479" t="s">
        <v>54</v>
      </c>
      <c r="C479" t="str">
        <f t="shared" si="14"/>
        <v>2022</v>
      </c>
      <c r="D479" t="str">
        <f t="shared" si="15"/>
        <v>04</v>
      </c>
      <c r="E479" t="s">
        <v>55</v>
      </c>
      <c r="F479" t="s">
        <v>119</v>
      </c>
      <c r="G479" t="s">
        <v>120</v>
      </c>
      <c r="H479" t="s">
        <v>118</v>
      </c>
      <c r="I479" t="s">
        <v>26</v>
      </c>
      <c r="J479">
        <v>290</v>
      </c>
      <c r="K479">
        <v>3536.82</v>
      </c>
      <c r="L479">
        <v>742.66</v>
      </c>
      <c r="M479">
        <v>0.21</v>
      </c>
      <c r="N479">
        <v>194.92</v>
      </c>
      <c r="O479">
        <v>5.5099999999999996E-2</v>
      </c>
      <c r="P479">
        <v>2.69</v>
      </c>
      <c r="Q479">
        <v>0.309</v>
      </c>
      <c r="R479">
        <v>106.15</v>
      </c>
      <c r="S479">
        <v>109.53</v>
      </c>
      <c r="T479">
        <v>131.63</v>
      </c>
      <c r="U479">
        <v>62000</v>
      </c>
      <c r="V479">
        <v>5642000</v>
      </c>
    </row>
    <row r="480" spans="1:22" x14ac:dyDescent="0.25">
      <c r="A480" t="s">
        <v>56</v>
      </c>
      <c r="B480" t="s">
        <v>57</v>
      </c>
      <c r="C480" t="str">
        <f t="shared" si="14"/>
        <v>2022</v>
      </c>
      <c r="D480" t="str">
        <f t="shared" si="15"/>
        <v>07</v>
      </c>
      <c r="E480" t="s">
        <v>55</v>
      </c>
      <c r="F480" t="s">
        <v>119</v>
      </c>
      <c r="G480" t="s">
        <v>120</v>
      </c>
      <c r="H480" t="s">
        <v>118</v>
      </c>
      <c r="I480" t="s">
        <v>26</v>
      </c>
      <c r="J480">
        <v>290</v>
      </c>
      <c r="K480">
        <v>3561.79</v>
      </c>
      <c r="L480">
        <v>533.11</v>
      </c>
      <c r="M480">
        <v>0.1497</v>
      </c>
      <c r="N480">
        <v>242.12</v>
      </c>
      <c r="O480">
        <v>6.8000000000000005E-2</v>
      </c>
      <c r="P480">
        <v>2.75</v>
      </c>
      <c r="Q480">
        <v>0.61399999999999999</v>
      </c>
      <c r="R480">
        <v>16.329999999999998</v>
      </c>
      <c r="S480">
        <v>80.69</v>
      </c>
      <c r="T480">
        <v>94.49</v>
      </c>
      <c r="U480">
        <v>62000</v>
      </c>
      <c r="V480">
        <v>5642000</v>
      </c>
    </row>
    <row r="481" spans="1:22" x14ac:dyDescent="0.25">
      <c r="A481" t="s">
        <v>58</v>
      </c>
      <c r="B481" t="s">
        <v>59</v>
      </c>
      <c r="C481" t="str">
        <f t="shared" si="14"/>
        <v>2022</v>
      </c>
      <c r="D481" t="str">
        <f t="shared" si="15"/>
        <v>10</v>
      </c>
      <c r="E481" t="s">
        <v>55</v>
      </c>
      <c r="F481" t="s">
        <v>119</v>
      </c>
      <c r="G481" t="s">
        <v>120</v>
      </c>
      <c r="H481" t="s">
        <v>118</v>
      </c>
      <c r="I481" t="s">
        <v>26</v>
      </c>
      <c r="J481">
        <v>290</v>
      </c>
      <c r="K481">
        <v>3435.58</v>
      </c>
      <c r="L481">
        <v>595.57000000000005</v>
      </c>
      <c r="M481">
        <v>0.1734</v>
      </c>
      <c r="N481">
        <v>314.70999999999998</v>
      </c>
      <c r="O481">
        <v>9.1600000000000001E-2</v>
      </c>
      <c r="P481">
        <v>2.89</v>
      </c>
      <c r="Q481">
        <v>0.30199999999999999</v>
      </c>
      <c r="R481">
        <v>31.1</v>
      </c>
      <c r="S481">
        <v>93.25</v>
      </c>
      <c r="T481">
        <v>105.56</v>
      </c>
      <c r="U481">
        <v>62000</v>
      </c>
      <c r="V481">
        <v>5642000</v>
      </c>
    </row>
    <row r="482" spans="1:22" x14ac:dyDescent="0.25">
      <c r="A482" t="s">
        <v>60</v>
      </c>
      <c r="B482" t="s">
        <v>61</v>
      </c>
      <c r="C482" t="str">
        <f t="shared" si="14"/>
        <v>2023</v>
      </c>
      <c r="D482" t="str">
        <f t="shared" si="15"/>
        <v>01</v>
      </c>
      <c r="E482" t="s">
        <v>62</v>
      </c>
      <c r="F482" t="s">
        <v>119</v>
      </c>
      <c r="G482" t="s">
        <v>120</v>
      </c>
      <c r="H482" t="s">
        <v>118</v>
      </c>
      <c r="I482" t="s">
        <v>26</v>
      </c>
      <c r="J482">
        <v>290</v>
      </c>
      <c r="K482">
        <v>3601.55</v>
      </c>
      <c r="L482">
        <v>548.01</v>
      </c>
      <c r="M482">
        <v>0.1522</v>
      </c>
      <c r="N482">
        <v>457.35</v>
      </c>
      <c r="O482">
        <v>0.127</v>
      </c>
      <c r="P482">
        <v>2.85</v>
      </c>
      <c r="Q482">
        <v>0.442</v>
      </c>
      <c r="R482">
        <v>19.190000000000001</v>
      </c>
      <c r="S482">
        <v>84.29</v>
      </c>
      <c r="T482">
        <v>97.13</v>
      </c>
      <c r="U482">
        <v>62000</v>
      </c>
      <c r="V482">
        <v>5642000</v>
      </c>
    </row>
    <row r="483" spans="1:22" x14ac:dyDescent="0.25">
      <c r="A483" t="s">
        <v>63</v>
      </c>
      <c r="B483" t="s">
        <v>64</v>
      </c>
      <c r="C483" t="str">
        <f t="shared" si="14"/>
        <v>2023</v>
      </c>
      <c r="D483" t="str">
        <f t="shared" si="15"/>
        <v>04</v>
      </c>
      <c r="E483" t="s">
        <v>62</v>
      </c>
      <c r="F483" t="s">
        <v>119</v>
      </c>
      <c r="G483" t="s">
        <v>120</v>
      </c>
      <c r="H483" t="s">
        <v>118</v>
      </c>
      <c r="I483" t="s">
        <v>26</v>
      </c>
      <c r="J483">
        <v>290</v>
      </c>
      <c r="K483">
        <v>3745.99</v>
      </c>
      <c r="L483">
        <v>575.30999999999995</v>
      </c>
      <c r="M483">
        <v>0.15359999999999999</v>
      </c>
      <c r="N483">
        <v>489.93</v>
      </c>
      <c r="O483">
        <v>0.1308</v>
      </c>
      <c r="P483">
        <v>2.8</v>
      </c>
      <c r="Q483">
        <v>0.63400000000000001</v>
      </c>
      <c r="R483">
        <v>48.51</v>
      </c>
      <c r="S483">
        <v>88.18</v>
      </c>
      <c r="T483">
        <v>101.97</v>
      </c>
      <c r="U483">
        <v>62000</v>
      </c>
      <c r="V483">
        <v>5642000</v>
      </c>
    </row>
    <row r="484" spans="1:22" x14ac:dyDescent="0.25">
      <c r="A484" t="s">
        <v>65</v>
      </c>
      <c r="B484" t="s">
        <v>66</v>
      </c>
      <c r="C484" t="str">
        <f t="shared" si="14"/>
        <v>2023</v>
      </c>
      <c r="D484" t="str">
        <f t="shared" si="15"/>
        <v>07</v>
      </c>
      <c r="E484" t="s">
        <v>62</v>
      </c>
      <c r="F484" t="s">
        <v>119</v>
      </c>
      <c r="G484" t="s">
        <v>120</v>
      </c>
      <c r="H484" t="s">
        <v>118</v>
      </c>
      <c r="I484" t="s">
        <v>26</v>
      </c>
      <c r="J484">
        <v>290</v>
      </c>
      <c r="K484">
        <v>3818</v>
      </c>
      <c r="L484">
        <v>550.21</v>
      </c>
      <c r="M484">
        <v>0.14410000000000001</v>
      </c>
      <c r="N484">
        <v>266.25</v>
      </c>
      <c r="O484">
        <v>6.9699999999999998E-2</v>
      </c>
      <c r="P484">
        <v>3.09</v>
      </c>
      <c r="Q484">
        <v>0.03</v>
      </c>
      <c r="R484">
        <v>1.38</v>
      </c>
      <c r="S484">
        <v>85.16</v>
      </c>
      <c r="T484">
        <v>97.52</v>
      </c>
      <c r="U484">
        <v>62000</v>
      </c>
      <c r="V484">
        <v>5642000</v>
      </c>
    </row>
    <row r="485" spans="1:22" x14ac:dyDescent="0.25">
      <c r="A485" t="s">
        <v>67</v>
      </c>
      <c r="B485" t="s">
        <v>68</v>
      </c>
      <c r="C485" t="str">
        <f t="shared" si="14"/>
        <v>2023</v>
      </c>
      <c r="D485" t="str">
        <f t="shared" si="15"/>
        <v>10</v>
      </c>
      <c r="E485" t="s">
        <v>69</v>
      </c>
      <c r="F485" t="s">
        <v>119</v>
      </c>
      <c r="G485" t="s">
        <v>120</v>
      </c>
      <c r="H485" t="s">
        <v>118</v>
      </c>
      <c r="I485" t="s">
        <v>26</v>
      </c>
      <c r="J485">
        <v>290</v>
      </c>
      <c r="K485">
        <v>3449.95</v>
      </c>
      <c r="L485">
        <v>507.55</v>
      </c>
      <c r="M485">
        <v>0.14710000000000001</v>
      </c>
      <c r="N485">
        <v>339.41</v>
      </c>
      <c r="O485">
        <v>9.8400000000000001E-2</v>
      </c>
      <c r="P485">
        <v>2.82</v>
      </c>
      <c r="Q485">
        <v>0.34700000000000003</v>
      </c>
      <c r="R485">
        <v>0</v>
      </c>
      <c r="S485">
        <v>78.33</v>
      </c>
      <c r="T485">
        <v>89.96</v>
      </c>
      <c r="U485">
        <v>62000</v>
      </c>
      <c r="V485">
        <v>5642000</v>
      </c>
    </row>
    <row r="486" spans="1:22" x14ac:dyDescent="0.25">
      <c r="A486" t="s">
        <v>70</v>
      </c>
      <c r="B486" t="s">
        <v>71</v>
      </c>
      <c r="C486" t="str">
        <f t="shared" si="14"/>
        <v>2024</v>
      </c>
      <c r="D486" t="str">
        <f t="shared" si="15"/>
        <v>01</v>
      </c>
      <c r="E486" t="s">
        <v>69</v>
      </c>
      <c r="F486" t="s">
        <v>119</v>
      </c>
      <c r="G486" t="s">
        <v>120</v>
      </c>
      <c r="H486" t="s">
        <v>118</v>
      </c>
      <c r="I486" t="s">
        <v>26</v>
      </c>
      <c r="J486">
        <v>290</v>
      </c>
      <c r="K486">
        <v>3697.73</v>
      </c>
      <c r="L486">
        <v>558.66999999999996</v>
      </c>
      <c r="M486">
        <v>0.15109999999999998</v>
      </c>
      <c r="N486">
        <v>441.1</v>
      </c>
      <c r="O486">
        <v>0.1193</v>
      </c>
      <c r="P486">
        <v>2.74</v>
      </c>
      <c r="Q486">
        <v>0.42899999999999999</v>
      </c>
      <c r="R486">
        <v>24.02</v>
      </c>
      <c r="S486">
        <v>84.61</v>
      </c>
      <c r="T486">
        <v>99.02</v>
      </c>
      <c r="U486">
        <v>62000</v>
      </c>
      <c r="V486">
        <v>5642000</v>
      </c>
    </row>
    <row r="487" spans="1:22" x14ac:dyDescent="0.25">
      <c r="A487" t="s">
        <v>72</v>
      </c>
      <c r="B487" t="s">
        <v>73</v>
      </c>
      <c r="C487" t="str">
        <f t="shared" si="14"/>
        <v>2024</v>
      </c>
      <c r="D487" t="str">
        <f t="shared" si="15"/>
        <v>04</v>
      </c>
      <c r="E487" t="s">
        <v>69</v>
      </c>
      <c r="F487" t="s">
        <v>119</v>
      </c>
      <c r="G487" t="s">
        <v>120</v>
      </c>
      <c r="H487" t="s">
        <v>118</v>
      </c>
      <c r="I487" t="s">
        <v>26</v>
      </c>
      <c r="J487">
        <v>290</v>
      </c>
      <c r="K487">
        <v>3632.14</v>
      </c>
      <c r="L487">
        <v>574.24</v>
      </c>
      <c r="M487">
        <v>0.15810000000000002</v>
      </c>
      <c r="N487">
        <v>187.99</v>
      </c>
      <c r="O487">
        <v>5.1799999999999999E-2</v>
      </c>
      <c r="P487">
        <v>2.72</v>
      </c>
      <c r="Q487">
        <v>0.27300000000000002</v>
      </c>
      <c r="R487">
        <v>20.52</v>
      </c>
      <c r="S487">
        <v>84.06</v>
      </c>
      <c r="T487">
        <v>101.78</v>
      </c>
      <c r="U487">
        <v>62000</v>
      </c>
      <c r="V487">
        <v>5642000</v>
      </c>
    </row>
    <row r="488" spans="1:22" x14ac:dyDescent="0.25">
      <c r="A488" t="s">
        <v>74</v>
      </c>
      <c r="B488" t="s">
        <v>75</v>
      </c>
      <c r="C488" t="str">
        <f t="shared" si="14"/>
        <v>2024</v>
      </c>
      <c r="D488" t="str">
        <f t="shared" si="15"/>
        <v>07</v>
      </c>
      <c r="E488" t="s">
        <v>69</v>
      </c>
      <c r="F488" t="s">
        <v>119</v>
      </c>
      <c r="G488" t="s">
        <v>120</v>
      </c>
      <c r="H488" t="s">
        <v>118</v>
      </c>
      <c r="I488" t="s">
        <v>26</v>
      </c>
      <c r="J488">
        <v>290</v>
      </c>
      <c r="K488">
        <v>3771.12</v>
      </c>
      <c r="L488">
        <v>530.24</v>
      </c>
      <c r="M488">
        <v>0.1406</v>
      </c>
      <c r="N488">
        <v>232.69</v>
      </c>
      <c r="O488">
        <v>6.1699999999999998E-2</v>
      </c>
      <c r="P488">
        <v>2.8</v>
      </c>
      <c r="Q488">
        <v>0.46899999999999997</v>
      </c>
      <c r="R488">
        <v>11</v>
      </c>
      <c r="S488">
        <v>80.400000000000006</v>
      </c>
      <c r="T488">
        <v>93.98</v>
      </c>
      <c r="U488">
        <v>62000</v>
      </c>
      <c r="V488">
        <v>5642000</v>
      </c>
    </row>
    <row r="489" spans="1:22" x14ac:dyDescent="0.25">
      <c r="A489" t="s">
        <v>76</v>
      </c>
      <c r="B489" t="s">
        <v>77</v>
      </c>
      <c r="C489" t="str">
        <f t="shared" si="14"/>
        <v>2024</v>
      </c>
      <c r="D489" t="str">
        <f t="shared" si="15"/>
        <v>10</v>
      </c>
      <c r="E489" t="s">
        <v>69</v>
      </c>
      <c r="F489" t="s">
        <v>119</v>
      </c>
      <c r="G489" t="s">
        <v>120</v>
      </c>
      <c r="H489" t="s">
        <v>118</v>
      </c>
      <c r="I489" t="s">
        <v>26</v>
      </c>
      <c r="J489">
        <v>290</v>
      </c>
      <c r="K489">
        <v>3822.83</v>
      </c>
      <c r="L489">
        <v>634.84</v>
      </c>
      <c r="M489">
        <v>0.1661</v>
      </c>
      <c r="N489">
        <v>323.92</v>
      </c>
      <c r="O489">
        <v>8.4700000000000011E-2</v>
      </c>
      <c r="P489">
        <v>2.94</v>
      </c>
      <c r="Q489">
        <v>0.16500000000000001</v>
      </c>
      <c r="R489">
        <v>26.21</v>
      </c>
      <c r="S489">
        <v>94.78</v>
      </c>
      <c r="T489">
        <v>112.52</v>
      </c>
      <c r="U489">
        <v>62000</v>
      </c>
      <c r="V489">
        <v>5642000</v>
      </c>
    </row>
    <row r="490" spans="1:22" x14ac:dyDescent="0.25">
      <c r="A490" t="s">
        <v>78</v>
      </c>
      <c r="B490" t="s">
        <v>79</v>
      </c>
      <c r="C490" t="str">
        <f t="shared" si="14"/>
        <v>2025</v>
      </c>
      <c r="D490" t="str">
        <f t="shared" si="15"/>
        <v>01</v>
      </c>
      <c r="E490" t="s">
        <v>80</v>
      </c>
      <c r="F490" t="s">
        <v>119</v>
      </c>
      <c r="G490" t="s">
        <v>120</v>
      </c>
      <c r="H490" t="s">
        <v>118</v>
      </c>
      <c r="I490" t="s">
        <v>26</v>
      </c>
      <c r="J490">
        <v>290</v>
      </c>
      <c r="K490">
        <v>3395.46</v>
      </c>
      <c r="L490">
        <v>572.89</v>
      </c>
      <c r="M490">
        <v>0.16870000000000002</v>
      </c>
      <c r="N490">
        <v>196.4</v>
      </c>
      <c r="O490">
        <v>5.7800000000000004E-2</v>
      </c>
      <c r="P490">
        <v>2.4700000000000002</v>
      </c>
      <c r="Q490">
        <v>0.32100000000000001</v>
      </c>
      <c r="R490">
        <v>23.58</v>
      </c>
      <c r="S490">
        <v>85.13</v>
      </c>
      <c r="T490">
        <v>101.54</v>
      </c>
      <c r="U490">
        <v>62000</v>
      </c>
      <c r="V490">
        <v>5642000</v>
      </c>
    </row>
    <row r="491" spans="1:22" x14ac:dyDescent="0.25">
      <c r="A491" t="s">
        <v>81</v>
      </c>
      <c r="B491" t="s">
        <v>82</v>
      </c>
      <c r="C491" t="str">
        <f t="shared" si="14"/>
        <v>2025</v>
      </c>
      <c r="D491" t="str">
        <f t="shared" si="15"/>
        <v>04</v>
      </c>
      <c r="E491" t="s">
        <v>80</v>
      </c>
      <c r="F491" t="s">
        <v>119</v>
      </c>
      <c r="G491" t="s">
        <v>120</v>
      </c>
      <c r="H491" t="s">
        <v>118</v>
      </c>
      <c r="I491" t="s">
        <v>26</v>
      </c>
      <c r="J491">
        <v>290</v>
      </c>
      <c r="K491">
        <v>3823.94</v>
      </c>
      <c r="L491">
        <v>679.47</v>
      </c>
      <c r="M491">
        <v>0.1777</v>
      </c>
      <c r="N491">
        <v>454.06</v>
      </c>
      <c r="O491">
        <v>0.11869999999999999</v>
      </c>
      <c r="P491">
        <v>3.09</v>
      </c>
      <c r="Q491">
        <v>0.316</v>
      </c>
      <c r="R491">
        <v>72.599999999999994</v>
      </c>
      <c r="S491">
        <v>101.77</v>
      </c>
      <c r="T491">
        <v>120.43</v>
      </c>
      <c r="U491">
        <v>62000</v>
      </c>
      <c r="V491">
        <v>5642000</v>
      </c>
    </row>
    <row r="492" spans="1:22" x14ac:dyDescent="0.25">
      <c r="A492" t="s">
        <v>83</v>
      </c>
      <c r="B492" t="s">
        <v>84</v>
      </c>
      <c r="C492" t="str">
        <f t="shared" si="14"/>
        <v>2025</v>
      </c>
      <c r="D492" t="str">
        <f t="shared" si="15"/>
        <v>07</v>
      </c>
      <c r="E492" t="s">
        <v>80</v>
      </c>
      <c r="F492" t="s">
        <v>119</v>
      </c>
      <c r="G492" t="s">
        <v>120</v>
      </c>
      <c r="H492" t="s">
        <v>118</v>
      </c>
      <c r="I492" t="s">
        <v>26</v>
      </c>
      <c r="J492">
        <v>290</v>
      </c>
      <c r="K492">
        <v>3657.33</v>
      </c>
      <c r="L492">
        <v>633.15</v>
      </c>
      <c r="M492">
        <v>0.17309999999999998</v>
      </c>
      <c r="N492">
        <v>283.82</v>
      </c>
      <c r="O492">
        <v>7.7600000000000002E-2</v>
      </c>
      <c r="P492">
        <v>2.71</v>
      </c>
      <c r="Q492">
        <v>0.38299999999999995</v>
      </c>
      <c r="R492">
        <v>59.87</v>
      </c>
      <c r="S492">
        <v>93.24</v>
      </c>
      <c r="T492">
        <v>112.22</v>
      </c>
      <c r="U492">
        <v>62000</v>
      </c>
      <c r="V492">
        <v>5642000</v>
      </c>
    </row>
    <row r="493" spans="1:22" x14ac:dyDescent="0.25">
      <c r="A493" t="s">
        <v>85</v>
      </c>
      <c r="B493" t="s">
        <v>86</v>
      </c>
      <c r="C493" t="str">
        <f t="shared" si="14"/>
        <v>2025</v>
      </c>
      <c r="D493" t="str">
        <f t="shared" si="15"/>
        <v>10</v>
      </c>
      <c r="E493" t="s">
        <v>80</v>
      </c>
      <c r="F493" t="s">
        <v>119</v>
      </c>
      <c r="G493" t="s">
        <v>120</v>
      </c>
      <c r="H493" t="s">
        <v>118</v>
      </c>
      <c r="I493" t="s">
        <v>26</v>
      </c>
      <c r="J493">
        <v>290</v>
      </c>
      <c r="K493">
        <v>3616.22</v>
      </c>
      <c r="L493">
        <v>630.04</v>
      </c>
      <c r="M493">
        <v>0.17420000000000002</v>
      </c>
      <c r="N493">
        <v>486.21</v>
      </c>
      <c r="O493">
        <v>0.13449999999999998</v>
      </c>
      <c r="P493">
        <v>2.95</v>
      </c>
      <c r="Q493">
        <v>0.503</v>
      </c>
      <c r="R493">
        <v>76.31</v>
      </c>
      <c r="S493">
        <v>99.34</v>
      </c>
      <c r="T493">
        <v>111.67</v>
      </c>
      <c r="U493">
        <v>62000</v>
      </c>
      <c r="V493">
        <v>5642000</v>
      </c>
    </row>
    <row r="494" spans="1:22" x14ac:dyDescent="0.25">
      <c r="A494" t="s">
        <v>87</v>
      </c>
      <c r="B494" t="s">
        <v>88</v>
      </c>
      <c r="C494" t="str">
        <f t="shared" si="14"/>
        <v>2026</v>
      </c>
      <c r="D494" t="str">
        <f t="shared" si="15"/>
        <v>01</v>
      </c>
      <c r="E494" t="s">
        <v>89</v>
      </c>
      <c r="F494" t="s">
        <v>119</v>
      </c>
      <c r="G494" t="s">
        <v>120</v>
      </c>
      <c r="H494" t="s">
        <v>118</v>
      </c>
      <c r="I494" t="s">
        <v>26</v>
      </c>
      <c r="J494">
        <v>290</v>
      </c>
      <c r="K494">
        <v>2550.8200000000002</v>
      </c>
      <c r="L494">
        <v>828.25</v>
      </c>
      <c r="M494">
        <v>0.32469999999999999</v>
      </c>
      <c r="N494">
        <v>-249.5</v>
      </c>
      <c r="O494">
        <v>-9.7799999999999998E-2</v>
      </c>
      <c r="P494">
        <v>2.2200000000000002</v>
      </c>
      <c r="Q494">
        <v>0.42700000000000005</v>
      </c>
      <c r="R494">
        <v>223.2</v>
      </c>
      <c r="S494">
        <v>130.88</v>
      </c>
      <c r="T494">
        <v>146.80000000000001</v>
      </c>
      <c r="U494">
        <v>62000</v>
      </c>
      <c r="V494">
        <v>5642000</v>
      </c>
    </row>
    <row r="495" spans="1:22" x14ac:dyDescent="0.25">
      <c r="A495" t="s">
        <v>20</v>
      </c>
      <c r="B495" t="s">
        <v>21</v>
      </c>
      <c r="C495" t="str">
        <f t="shared" si="14"/>
        <v>2019</v>
      </c>
      <c r="D495" t="str">
        <f t="shared" si="15"/>
        <v>01</v>
      </c>
      <c r="E495" t="s">
        <v>22</v>
      </c>
      <c r="F495" t="s">
        <v>121</v>
      </c>
      <c r="G495" t="s">
        <v>122</v>
      </c>
      <c r="H495" t="s">
        <v>118</v>
      </c>
      <c r="I495" t="s">
        <v>26</v>
      </c>
      <c r="J495">
        <v>550</v>
      </c>
      <c r="K495">
        <v>7848.53</v>
      </c>
      <c r="L495">
        <v>542.94000000000005</v>
      </c>
      <c r="M495">
        <v>6.9199999999999998E-2</v>
      </c>
      <c r="N495">
        <v>1082.72</v>
      </c>
      <c r="O495">
        <v>0.13800000000000001</v>
      </c>
      <c r="P495">
        <v>5.46</v>
      </c>
      <c r="Q495">
        <v>0.53600000000000003</v>
      </c>
      <c r="R495">
        <v>0</v>
      </c>
      <c r="S495">
        <v>63</v>
      </c>
      <c r="T495">
        <v>74.58</v>
      </c>
      <c r="U495">
        <v>80000</v>
      </c>
      <c r="V495">
        <v>7280000</v>
      </c>
    </row>
    <row r="496" spans="1:22" x14ac:dyDescent="0.25">
      <c r="A496" t="s">
        <v>27</v>
      </c>
      <c r="B496" t="s">
        <v>28</v>
      </c>
      <c r="C496" t="str">
        <f t="shared" si="14"/>
        <v>2019</v>
      </c>
      <c r="D496" t="str">
        <f t="shared" si="15"/>
        <v>04</v>
      </c>
      <c r="E496" t="s">
        <v>22</v>
      </c>
      <c r="F496" t="s">
        <v>121</v>
      </c>
      <c r="G496" t="s">
        <v>122</v>
      </c>
      <c r="H496" t="s">
        <v>118</v>
      </c>
      <c r="I496" t="s">
        <v>26</v>
      </c>
      <c r="J496">
        <v>550</v>
      </c>
      <c r="K496">
        <v>7514.7</v>
      </c>
      <c r="L496">
        <v>533.91999999999996</v>
      </c>
      <c r="M496">
        <v>7.0999999999999994E-2</v>
      </c>
      <c r="N496">
        <v>620.65</v>
      </c>
      <c r="O496">
        <v>8.2599999999999993E-2</v>
      </c>
      <c r="P496">
        <v>5.51</v>
      </c>
      <c r="Q496">
        <v>0.16699999999999998</v>
      </c>
      <c r="R496">
        <v>0</v>
      </c>
      <c r="S496">
        <v>64.790000000000006</v>
      </c>
      <c r="T496">
        <v>73.34</v>
      </c>
      <c r="U496">
        <v>80000</v>
      </c>
      <c r="V496">
        <v>7280000</v>
      </c>
    </row>
    <row r="497" spans="1:22" x14ac:dyDescent="0.25">
      <c r="A497" t="s">
        <v>29</v>
      </c>
      <c r="B497" t="s">
        <v>30</v>
      </c>
      <c r="C497" t="str">
        <f t="shared" si="14"/>
        <v>2019</v>
      </c>
      <c r="D497" t="str">
        <f t="shared" si="15"/>
        <v>07</v>
      </c>
      <c r="E497" t="s">
        <v>22</v>
      </c>
      <c r="F497" t="s">
        <v>121</v>
      </c>
      <c r="G497" t="s">
        <v>122</v>
      </c>
      <c r="H497" t="s">
        <v>118</v>
      </c>
      <c r="I497" t="s">
        <v>26</v>
      </c>
      <c r="J497">
        <v>550</v>
      </c>
      <c r="K497">
        <v>8092.96</v>
      </c>
      <c r="L497">
        <v>517.67999999999995</v>
      </c>
      <c r="M497">
        <v>6.4000000000000001E-2</v>
      </c>
      <c r="N497">
        <v>590.16</v>
      </c>
      <c r="O497">
        <v>7.2900000000000006E-2</v>
      </c>
      <c r="P497">
        <v>5.32</v>
      </c>
      <c r="Q497">
        <v>0.21</v>
      </c>
      <c r="R497">
        <v>0</v>
      </c>
      <c r="S497">
        <v>60.46</v>
      </c>
      <c r="T497">
        <v>71.11</v>
      </c>
      <c r="U497">
        <v>80000</v>
      </c>
      <c r="V497">
        <v>7280000</v>
      </c>
    </row>
    <row r="498" spans="1:22" x14ac:dyDescent="0.25">
      <c r="A498" t="s">
        <v>31</v>
      </c>
      <c r="B498" t="s">
        <v>32</v>
      </c>
      <c r="C498" t="str">
        <f t="shared" si="14"/>
        <v>2019</v>
      </c>
      <c r="D498" t="str">
        <f t="shared" si="15"/>
        <v>10</v>
      </c>
      <c r="E498" t="s">
        <v>22</v>
      </c>
      <c r="F498" t="s">
        <v>121</v>
      </c>
      <c r="G498" t="s">
        <v>122</v>
      </c>
      <c r="H498" t="s">
        <v>118</v>
      </c>
      <c r="I498" t="s">
        <v>26</v>
      </c>
      <c r="J498">
        <v>550</v>
      </c>
      <c r="K498">
        <v>7959.57</v>
      </c>
      <c r="L498">
        <v>560.34</v>
      </c>
      <c r="M498">
        <v>7.0400000000000004E-2</v>
      </c>
      <c r="N498">
        <v>568.26</v>
      </c>
      <c r="O498">
        <v>7.1399999999999991E-2</v>
      </c>
      <c r="P498">
        <v>5.79</v>
      </c>
      <c r="Q498">
        <v>0.60799999999999998</v>
      </c>
      <c r="R498">
        <v>0</v>
      </c>
      <c r="S498">
        <v>65.66</v>
      </c>
      <c r="T498">
        <v>76.97</v>
      </c>
      <c r="U498">
        <v>80000</v>
      </c>
      <c r="V498">
        <v>7280000</v>
      </c>
    </row>
    <row r="499" spans="1:22" x14ac:dyDescent="0.25">
      <c r="A499" t="s">
        <v>33</v>
      </c>
      <c r="B499" t="s">
        <v>34</v>
      </c>
      <c r="C499" t="str">
        <f t="shared" si="14"/>
        <v>2020</v>
      </c>
      <c r="D499" t="str">
        <f t="shared" si="15"/>
        <v>01</v>
      </c>
      <c r="E499" t="s">
        <v>22</v>
      </c>
      <c r="F499" t="s">
        <v>121</v>
      </c>
      <c r="G499" t="s">
        <v>122</v>
      </c>
      <c r="H499" t="s">
        <v>118</v>
      </c>
      <c r="I499" t="s">
        <v>26</v>
      </c>
      <c r="J499">
        <v>550</v>
      </c>
      <c r="K499">
        <v>7378.47</v>
      </c>
      <c r="L499">
        <v>548.77</v>
      </c>
      <c r="M499">
        <v>7.4400000000000008E-2</v>
      </c>
      <c r="N499">
        <v>392.07</v>
      </c>
      <c r="O499">
        <v>5.3099999999999994E-2</v>
      </c>
      <c r="P499">
        <v>4.83</v>
      </c>
      <c r="Q499">
        <v>0.28600000000000003</v>
      </c>
      <c r="R499">
        <v>0</v>
      </c>
      <c r="S499">
        <v>66.66</v>
      </c>
      <c r="T499">
        <v>75.38</v>
      </c>
      <c r="U499">
        <v>80000</v>
      </c>
      <c r="V499">
        <v>7280000</v>
      </c>
    </row>
    <row r="500" spans="1:22" x14ac:dyDescent="0.25">
      <c r="A500" t="s">
        <v>35</v>
      </c>
      <c r="B500" t="s">
        <v>36</v>
      </c>
      <c r="C500" t="str">
        <f t="shared" si="14"/>
        <v>2020</v>
      </c>
      <c r="D500" t="str">
        <f t="shared" si="15"/>
        <v>04</v>
      </c>
      <c r="E500" t="s">
        <v>37</v>
      </c>
      <c r="F500" t="s">
        <v>121</v>
      </c>
      <c r="G500" t="s">
        <v>122</v>
      </c>
      <c r="H500" t="s">
        <v>118</v>
      </c>
      <c r="I500" t="s">
        <v>26</v>
      </c>
      <c r="J500">
        <v>550</v>
      </c>
      <c r="K500">
        <v>1281.43</v>
      </c>
      <c r="L500">
        <v>172.46</v>
      </c>
      <c r="M500">
        <v>0.1346</v>
      </c>
      <c r="N500">
        <v>-431.26</v>
      </c>
      <c r="O500">
        <v>-0.33649999999999997</v>
      </c>
      <c r="P500">
        <v>0.98</v>
      </c>
      <c r="Q500">
        <v>0.505</v>
      </c>
      <c r="R500">
        <v>0</v>
      </c>
      <c r="S500">
        <v>20.57</v>
      </c>
      <c r="T500">
        <v>23.69</v>
      </c>
      <c r="U500">
        <v>80000</v>
      </c>
      <c r="V500">
        <v>7280000</v>
      </c>
    </row>
    <row r="501" spans="1:22" x14ac:dyDescent="0.25">
      <c r="A501" t="s">
        <v>38</v>
      </c>
      <c r="B501" t="s">
        <v>39</v>
      </c>
      <c r="C501" t="str">
        <f t="shared" si="14"/>
        <v>2020</v>
      </c>
      <c r="D501" t="str">
        <f t="shared" si="15"/>
        <v>07</v>
      </c>
      <c r="E501" t="s">
        <v>37</v>
      </c>
      <c r="F501" t="s">
        <v>121</v>
      </c>
      <c r="G501" t="s">
        <v>122</v>
      </c>
      <c r="H501" t="s">
        <v>118</v>
      </c>
      <c r="I501" t="s">
        <v>26</v>
      </c>
      <c r="J501">
        <v>550</v>
      </c>
      <c r="K501">
        <v>1997.55</v>
      </c>
      <c r="L501">
        <v>367.13</v>
      </c>
      <c r="M501">
        <v>0.18379999999999999</v>
      </c>
      <c r="N501">
        <v>-474.21</v>
      </c>
      <c r="O501">
        <v>-0.23739999999999997</v>
      </c>
      <c r="P501">
        <v>1.31</v>
      </c>
      <c r="Q501">
        <v>0.39600000000000002</v>
      </c>
      <c r="R501">
        <v>0</v>
      </c>
      <c r="S501">
        <v>44.05</v>
      </c>
      <c r="T501">
        <v>50.43</v>
      </c>
      <c r="U501">
        <v>80000</v>
      </c>
      <c r="V501">
        <v>7280000</v>
      </c>
    </row>
    <row r="502" spans="1:22" x14ac:dyDescent="0.25">
      <c r="A502" t="s">
        <v>40</v>
      </c>
      <c r="B502" t="s">
        <v>41</v>
      </c>
      <c r="C502" t="str">
        <f t="shared" si="14"/>
        <v>2020</v>
      </c>
      <c r="D502" t="str">
        <f t="shared" si="15"/>
        <v>10</v>
      </c>
      <c r="E502" t="s">
        <v>37</v>
      </c>
      <c r="F502" t="s">
        <v>121</v>
      </c>
      <c r="G502" t="s">
        <v>122</v>
      </c>
      <c r="H502" t="s">
        <v>118</v>
      </c>
      <c r="I502" t="s">
        <v>26</v>
      </c>
      <c r="J502">
        <v>550</v>
      </c>
      <c r="K502">
        <v>1298.46</v>
      </c>
      <c r="L502">
        <v>332.4</v>
      </c>
      <c r="M502">
        <v>0.25600000000000001</v>
      </c>
      <c r="N502">
        <v>-427.8</v>
      </c>
      <c r="O502">
        <v>-0.32950000000000002</v>
      </c>
      <c r="P502">
        <v>0.92</v>
      </c>
      <c r="Q502">
        <v>0.17199999999999999</v>
      </c>
      <c r="R502">
        <v>0</v>
      </c>
      <c r="S502">
        <v>39.950000000000003</v>
      </c>
      <c r="T502">
        <v>45.66</v>
      </c>
      <c r="U502">
        <v>80000</v>
      </c>
      <c r="V502">
        <v>7280000</v>
      </c>
    </row>
    <row r="503" spans="1:22" x14ac:dyDescent="0.25">
      <c r="A503" t="s">
        <v>42</v>
      </c>
      <c r="B503" t="s">
        <v>43</v>
      </c>
      <c r="C503" t="str">
        <f t="shared" si="14"/>
        <v>2021</v>
      </c>
      <c r="D503" t="str">
        <f t="shared" si="15"/>
        <v>01</v>
      </c>
      <c r="E503" t="s">
        <v>37</v>
      </c>
      <c r="F503" t="s">
        <v>121</v>
      </c>
      <c r="G503" t="s">
        <v>122</v>
      </c>
      <c r="H503" t="s">
        <v>118</v>
      </c>
      <c r="I503" t="s">
        <v>26</v>
      </c>
      <c r="J503">
        <v>550</v>
      </c>
      <c r="K503">
        <v>2369.7800000000002</v>
      </c>
      <c r="L503">
        <v>624.41</v>
      </c>
      <c r="M503">
        <v>0.26350000000000001</v>
      </c>
      <c r="N503">
        <v>-931.19</v>
      </c>
      <c r="O503">
        <v>-0.39289999999999997</v>
      </c>
      <c r="P503">
        <v>1.7</v>
      </c>
      <c r="Q503">
        <v>0.313</v>
      </c>
      <c r="R503">
        <v>0</v>
      </c>
      <c r="S503">
        <v>75.489999999999995</v>
      </c>
      <c r="T503">
        <v>85.77</v>
      </c>
      <c r="U503">
        <v>80000</v>
      </c>
      <c r="V503">
        <v>7280000</v>
      </c>
    </row>
    <row r="504" spans="1:22" x14ac:dyDescent="0.25">
      <c r="A504" t="s">
        <v>44</v>
      </c>
      <c r="B504" t="s">
        <v>45</v>
      </c>
      <c r="C504" t="str">
        <f t="shared" si="14"/>
        <v>2021</v>
      </c>
      <c r="D504" t="str">
        <f t="shared" si="15"/>
        <v>04</v>
      </c>
      <c r="E504" t="s">
        <v>37</v>
      </c>
      <c r="F504" t="s">
        <v>121</v>
      </c>
      <c r="G504" t="s">
        <v>122</v>
      </c>
      <c r="H504" t="s">
        <v>118</v>
      </c>
      <c r="I504" t="s">
        <v>26</v>
      </c>
      <c r="J504">
        <v>550</v>
      </c>
      <c r="K504">
        <v>1772.48</v>
      </c>
      <c r="L504">
        <v>661.9</v>
      </c>
      <c r="M504">
        <v>0.37340000000000001</v>
      </c>
      <c r="N504">
        <v>-782.75</v>
      </c>
      <c r="O504">
        <v>-0.44159999999999999</v>
      </c>
      <c r="P504">
        <v>1.31</v>
      </c>
      <c r="Q504">
        <v>8.0000000000000002E-3</v>
      </c>
      <c r="R504">
        <v>0.05</v>
      </c>
      <c r="S504">
        <v>76.83</v>
      </c>
      <c r="T504">
        <v>90.92</v>
      </c>
      <c r="U504">
        <v>80000</v>
      </c>
      <c r="V504">
        <v>7280000</v>
      </c>
    </row>
    <row r="505" spans="1:22" x14ac:dyDescent="0.25">
      <c r="A505" t="s">
        <v>46</v>
      </c>
      <c r="B505" t="s">
        <v>47</v>
      </c>
      <c r="C505" t="str">
        <f t="shared" si="14"/>
        <v>2021</v>
      </c>
      <c r="D505" t="str">
        <f t="shared" si="15"/>
        <v>07</v>
      </c>
      <c r="E505" t="s">
        <v>48</v>
      </c>
      <c r="F505" t="s">
        <v>121</v>
      </c>
      <c r="G505" t="s">
        <v>122</v>
      </c>
      <c r="H505" t="s">
        <v>118</v>
      </c>
      <c r="I505" t="s">
        <v>26</v>
      </c>
      <c r="J505">
        <v>550</v>
      </c>
      <c r="K505">
        <v>6105.82</v>
      </c>
      <c r="L505">
        <v>654.62</v>
      </c>
      <c r="M505">
        <v>0.1072</v>
      </c>
      <c r="N505">
        <v>-93.84</v>
      </c>
      <c r="O505">
        <v>-1.54E-2</v>
      </c>
      <c r="P505">
        <v>4.01</v>
      </c>
      <c r="Q505">
        <v>0.27100000000000002</v>
      </c>
      <c r="R505">
        <v>0</v>
      </c>
      <c r="S505">
        <v>78.97</v>
      </c>
      <c r="T505">
        <v>89.92</v>
      </c>
      <c r="U505">
        <v>80000</v>
      </c>
      <c r="V505">
        <v>7280000</v>
      </c>
    </row>
    <row r="506" spans="1:22" x14ac:dyDescent="0.25">
      <c r="A506" t="s">
        <v>49</v>
      </c>
      <c r="B506" t="s">
        <v>50</v>
      </c>
      <c r="C506" t="str">
        <f t="shared" si="14"/>
        <v>2021</v>
      </c>
      <c r="D506" t="str">
        <f t="shared" si="15"/>
        <v>10</v>
      </c>
      <c r="E506" t="s">
        <v>48</v>
      </c>
      <c r="F506" t="s">
        <v>121</v>
      </c>
      <c r="G506" t="s">
        <v>122</v>
      </c>
      <c r="H506" t="s">
        <v>118</v>
      </c>
      <c r="I506" t="s">
        <v>26</v>
      </c>
      <c r="J506">
        <v>550</v>
      </c>
      <c r="K506">
        <v>5714.04</v>
      </c>
      <c r="L506">
        <v>758.94</v>
      </c>
      <c r="M506">
        <v>0.1328</v>
      </c>
      <c r="N506">
        <v>-55.16</v>
      </c>
      <c r="O506">
        <v>-9.7000000000000003E-3</v>
      </c>
      <c r="P506">
        <v>3.76</v>
      </c>
      <c r="Q506">
        <v>1.2E-2</v>
      </c>
      <c r="R506">
        <v>1.44</v>
      </c>
      <c r="S506">
        <v>86.82</v>
      </c>
      <c r="T506">
        <v>104.25</v>
      </c>
      <c r="U506">
        <v>80000</v>
      </c>
      <c r="V506">
        <v>7280000</v>
      </c>
    </row>
    <row r="507" spans="1:22" x14ac:dyDescent="0.25">
      <c r="A507" t="s">
        <v>51</v>
      </c>
      <c r="B507" t="s">
        <v>52</v>
      </c>
      <c r="C507" t="str">
        <f t="shared" si="14"/>
        <v>2022</v>
      </c>
      <c r="D507" t="str">
        <f t="shared" si="15"/>
        <v>01</v>
      </c>
      <c r="E507" t="s">
        <v>48</v>
      </c>
      <c r="F507" t="s">
        <v>121</v>
      </c>
      <c r="G507" t="s">
        <v>122</v>
      </c>
      <c r="H507" t="s">
        <v>118</v>
      </c>
      <c r="I507" t="s">
        <v>26</v>
      </c>
      <c r="J507">
        <v>550</v>
      </c>
      <c r="K507">
        <v>5930.72</v>
      </c>
      <c r="L507">
        <v>592.88</v>
      </c>
      <c r="M507">
        <v>0.1</v>
      </c>
      <c r="N507">
        <v>386.9</v>
      </c>
      <c r="O507">
        <v>6.5199999999999994E-2</v>
      </c>
      <c r="P507">
        <v>3.88</v>
      </c>
      <c r="Q507">
        <v>0.15</v>
      </c>
      <c r="R507">
        <v>0</v>
      </c>
      <c r="S507">
        <v>72.010000000000005</v>
      </c>
      <c r="T507">
        <v>81.44</v>
      </c>
      <c r="U507">
        <v>80000</v>
      </c>
      <c r="V507">
        <v>7280000</v>
      </c>
    </row>
    <row r="508" spans="1:22" x14ac:dyDescent="0.25">
      <c r="A508" t="s">
        <v>53</v>
      </c>
      <c r="B508" t="s">
        <v>54</v>
      </c>
      <c r="C508" t="str">
        <f t="shared" si="14"/>
        <v>2022</v>
      </c>
      <c r="D508" t="str">
        <f t="shared" si="15"/>
        <v>04</v>
      </c>
      <c r="E508" t="s">
        <v>55</v>
      </c>
      <c r="F508" t="s">
        <v>121</v>
      </c>
      <c r="G508" t="s">
        <v>122</v>
      </c>
      <c r="H508" t="s">
        <v>118</v>
      </c>
      <c r="I508" t="s">
        <v>26</v>
      </c>
      <c r="J508">
        <v>550</v>
      </c>
      <c r="K508">
        <v>6780.34</v>
      </c>
      <c r="L508">
        <v>958.27</v>
      </c>
      <c r="M508">
        <v>0.14130000000000001</v>
      </c>
      <c r="N508">
        <v>615.69000000000005</v>
      </c>
      <c r="O508">
        <v>9.0800000000000006E-2</v>
      </c>
      <c r="P508">
        <v>4.7699999999999996</v>
      </c>
      <c r="Q508">
        <v>0.60099999999999998</v>
      </c>
      <c r="R508">
        <v>266.39</v>
      </c>
      <c r="S508">
        <v>109.53</v>
      </c>
      <c r="T508">
        <v>131.63</v>
      </c>
      <c r="U508">
        <v>80000</v>
      </c>
      <c r="V508">
        <v>7280000</v>
      </c>
    </row>
    <row r="509" spans="1:22" x14ac:dyDescent="0.25">
      <c r="A509" t="s">
        <v>56</v>
      </c>
      <c r="B509" t="s">
        <v>57</v>
      </c>
      <c r="C509" t="str">
        <f t="shared" si="14"/>
        <v>2022</v>
      </c>
      <c r="D509" t="str">
        <f t="shared" si="15"/>
        <v>07</v>
      </c>
      <c r="E509" t="s">
        <v>55</v>
      </c>
      <c r="F509" t="s">
        <v>121</v>
      </c>
      <c r="G509" t="s">
        <v>122</v>
      </c>
      <c r="H509" t="s">
        <v>118</v>
      </c>
      <c r="I509" t="s">
        <v>26</v>
      </c>
      <c r="J509">
        <v>550</v>
      </c>
      <c r="K509">
        <v>7452.15</v>
      </c>
      <c r="L509">
        <v>687.89</v>
      </c>
      <c r="M509">
        <v>9.2300000000000007E-2</v>
      </c>
      <c r="N509">
        <v>663.05</v>
      </c>
      <c r="O509">
        <v>8.900000000000001E-2</v>
      </c>
      <c r="P509">
        <v>5.78</v>
      </c>
      <c r="Q509">
        <v>0.218</v>
      </c>
      <c r="R509">
        <v>7.48</v>
      </c>
      <c r="S509">
        <v>80.69</v>
      </c>
      <c r="T509">
        <v>94.49</v>
      </c>
      <c r="U509">
        <v>80000</v>
      </c>
      <c r="V509">
        <v>7280000</v>
      </c>
    </row>
    <row r="510" spans="1:22" x14ac:dyDescent="0.25">
      <c r="A510" t="s">
        <v>58</v>
      </c>
      <c r="B510" t="s">
        <v>59</v>
      </c>
      <c r="C510" t="str">
        <f t="shared" si="14"/>
        <v>2022</v>
      </c>
      <c r="D510" t="str">
        <f t="shared" si="15"/>
        <v>10</v>
      </c>
      <c r="E510" t="s">
        <v>55</v>
      </c>
      <c r="F510" t="s">
        <v>121</v>
      </c>
      <c r="G510" t="s">
        <v>122</v>
      </c>
      <c r="H510" t="s">
        <v>118</v>
      </c>
      <c r="I510" t="s">
        <v>26</v>
      </c>
      <c r="J510">
        <v>550</v>
      </c>
      <c r="K510">
        <v>7711.07</v>
      </c>
      <c r="L510">
        <v>768.48</v>
      </c>
      <c r="M510">
        <v>9.9700000000000011E-2</v>
      </c>
      <c r="N510">
        <v>565.33000000000004</v>
      </c>
      <c r="O510">
        <v>7.3300000000000004E-2</v>
      </c>
      <c r="P510">
        <v>4.96</v>
      </c>
      <c r="Q510">
        <v>0.28499999999999998</v>
      </c>
      <c r="R510">
        <v>37.869999999999997</v>
      </c>
      <c r="S510">
        <v>93.25</v>
      </c>
      <c r="T510">
        <v>105.56</v>
      </c>
      <c r="U510">
        <v>80000</v>
      </c>
      <c r="V510">
        <v>7280000</v>
      </c>
    </row>
    <row r="511" spans="1:22" x14ac:dyDescent="0.25">
      <c r="A511" t="s">
        <v>60</v>
      </c>
      <c r="B511" t="s">
        <v>61</v>
      </c>
      <c r="C511" t="str">
        <f t="shared" si="14"/>
        <v>2023</v>
      </c>
      <c r="D511" t="str">
        <f t="shared" si="15"/>
        <v>01</v>
      </c>
      <c r="E511" t="s">
        <v>62</v>
      </c>
      <c r="F511" t="s">
        <v>121</v>
      </c>
      <c r="G511" t="s">
        <v>122</v>
      </c>
      <c r="H511" t="s">
        <v>118</v>
      </c>
      <c r="I511" t="s">
        <v>26</v>
      </c>
      <c r="J511">
        <v>550</v>
      </c>
      <c r="K511">
        <v>7958.94</v>
      </c>
      <c r="L511">
        <v>707.11</v>
      </c>
      <c r="M511">
        <v>8.8800000000000004E-2</v>
      </c>
      <c r="N511">
        <v>1071.5</v>
      </c>
      <c r="O511">
        <v>0.1346</v>
      </c>
      <c r="P511">
        <v>6.11</v>
      </c>
      <c r="Q511">
        <v>0.63200000000000001</v>
      </c>
      <c r="R511">
        <v>35.4</v>
      </c>
      <c r="S511">
        <v>84.29</v>
      </c>
      <c r="T511">
        <v>97.13</v>
      </c>
      <c r="U511">
        <v>80000</v>
      </c>
      <c r="V511">
        <v>7280000</v>
      </c>
    </row>
    <row r="512" spans="1:22" x14ac:dyDescent="0.25">
      <c r="A512" t="s">
        <v>63</v>
      </c>
      <c r="B512" t="s">
        <v>64</v>
      </c>
      <c r="C512" t="str">
        <f t="shared" si="14"/>
        <v>2023</v>
      </c>
      <c r="D512" t="str">
        <f t="shared" si="15"/>
        <v>04</v>
      </c>
      <c r="E512" t="s">
        <v>62</v>
      </c>
      <c r="F512" t="s">
        <v>121</v>
      </c>
      <c r="G512" t="s">
        <v>122</v>
      </c>
      <c r="H512" t="s">
        <v>118</v>
      </c>
      <c r="I512" t="s">
        <v>26</v>
      </c>
      <c r="J512">
        <v>550</v>
      </c>
      <c r="K512">
        <v>7761.72</v>
      </c>
      <c r="L512">
        <v>742.34</v>
      </c>
      <c r="M512">
        <v>9.5600000000000004E-2</v>
      </c>
      <c r="N512">
        <v>491.16</v>
      </c>
      <c r="O512">
        <v>6.3299999999999995E-2</v>
      </c>
      <c r="P512">
        <v>5.6</v>
      </c>
      <c r="Q512">
        <v>0.27399999999999997</v>
      </c>
      <c r="R512">
        <v>27.05</v>
      </c>
      <c r="S512">
        <v>88.18</v>
      </c>
      <c r="T512">
        <v>101.97</v>
      </c>
      <c r="U512">
        <v>80000</v>
      </c>
      <c r="V512">
        <v>7280000</v>
      </c>
    </row>
    <row r="513" spans="1:22" x14ac:dyDescent="0.25">
      <c r="A513" t="s">
        <v>65</v>
      </c>
      <c r="B513" t="s">
        <v>66</v>
      </c>
      <c r="C513" t="str">
        <f t="shared" si="14"/>
        <v>2023</v>
      </c>
      <c r="D513" t="str">
        <f t="shared" si="15"/>
        <v>07</v>
      </c>
      <c r="E513" t="s">
        <v>62</v>
      </c>
      <c r="F513" t="s">
        <v>121</v>
      </c>
      <c r="G513" t="s">
        <v>122</v>
      </c>
      <c r="H513" t="s">
        <v>118</v>
      </c>
      <c r="I513" t="s">
        <v>26</v>
      </c>
      <c r="J513">
        <v>550</v>
      </c>
      <c r="K513">
        <v>7377.19</v>
      </c>
      <c r="L513">
        <v>709.95</v>
      </c>
      <c r="M513">
        <v>9.6199999999999994E-2</v>
      </c>
      <c r="N513">
        <v>865.19</v>
      </c>
      <c r="O513">
        <v>0.1173</v>
      </c>
      <c r="P513">
        <v>5.38</v>
      </c>
      <c r="Q513">
        <v>0.51400000000000001</v>
      </c>
      <c r="R513">
        <v>30.49</v>
      </c>
      <c r="S513">
        <v>85.16</v>
      </c>
      <c r="T513">
        <v>97.52</v>
      </c>
      <c r="U513">
        <v>80000</v>
      </c>
      <c r="V513">
        <v>7280000</v>
      </c>
    </row>
    <row r="514" spans="1:22" x14ac:dyDescent="0.25">
      <c r="A514" t="s">
        <v>67</v>
      </c>
      <c r="B514" t="s">
        <v>68</v>
      </c>
      <c r="C514" t="str">
        <f t="shared" si="14"/>
        <v>2023</v>
      </c>
      <c r="D514" t="str">
        <f t="shared" si="15"/>
        <v>10</v>
      </c>
      <c r="E514" t="s">
        <v>69</v>
      </c>
      <c r="F514" t="s">
        <v>121</v>
      </c>
      <c r="G514" t="s">
        <v>122</v>
      </c>
      <c r="H514" t="s">
        <v>118</v>
      </c>
      <c r="I514" t="s">
        <v>26</v>
      </c>
      <c r="J514">
        <v>550</v>
      </c>
      <c r="K514">
        <v>7387.75</v>
      </c>
      <c r="L514">
        <v>654.91</v>
      </c>
      <c r="M514">
        <v>8.8599999999999998E-2</v>
      </c>
      <c r="N514">
        <v>963.28</v>
      </c>
      <c r="O514">
        <v>0.13039999999999999</v>
      </c>
      <c r="P514">
        <v>4.9800000000000004</v>
      </c>
      <c r="Q514">
        <v>0.39100000000000001</v>
      </c>
      <c r="R514">
        <v>0</v>
      </c>
      <c r="S514">
        <v>78.33</v>
      </c>
      <c r="T514">
        <v>89.96</v>
      </c>
      <c r="U514">
        <v>80000</v>
      </c>
      <c r="V514">
        <v>7280000</v>
      </c>
    </row>
    <row r="515" spans="1:22" x14ac:dyDescent="0.25">
      <c r="A515" t="s">
        <v>70</v>
      </c>
      <c r="B515" t="s">
        <v>71</v>
      </c>
      <c r="C515" t="str">
        <f t="shared" ref="C515:C578" si="16">LEFT(B515,4)</f>
        <v>2024</v>
      </c>
      <c r="D515" t="str">
        <f t="shared" ref="D515:D578" si="17">RIGHT(B515,2)</f>
        <v>01</v>
      </c>
      <c r="E515" t="s">
        <v>69</v>
      </c>
      <c r="F515" t="s">
        <v>121</v>
      </c>
      <c r="G515" t="s">
        <v>122</v>
      </c>
      <c r="H515" t="s">
        <v>118</v>
      </c>
      <c r="I515" t="s">
        <v>26</v>
      </c>
      <c r="J515">
        <v>550</v>
      </c>
      <c r="K515">
        <v>7180.47</v>
      </c>
      <c r="L515">
        <v>720.87</v>
      </c>
      <c r="M515">
        <v>0.10039999999999999</v>
      </c>
      <c r="N515">
        <v>675.66</v>
      </c>
      <c r="O515">
        <v>9.4100000000000003E-2</v>
      </c>
      <c r="P515">
        <v>4.7</v>
      </c>
      <c r="Q515">
        <v>0.21600000000000003</v>
      </c>
      <c r="R515">
        <v>15.61</v>
      </c>
      <c r="S515">
        <v>84.61</v>
      </c>
      <c r="T515">
        <v>99.02</v>
      </c>
      <c r="U515">
        <v>80000</v>
      </c>
      <c r="V515">
        <v>7280000</v>
      </c>
    </row>
    <row r="516" spans="1:22" x14ac:dyDescent="0.25">
      <c r="A516" t="s">
        <v>72</v>
      </c>
      <c r="B516" t="s">
        <v>73</v>
      </c>
      <c r="C516" t="str">
        <f t="shared" si="16"/>
        <v>2024</v>
      </c>
      <c r="D516" t="str">
        <f t="shared" si="17"/>
        <v>04</v>
      </c>
      <c r="E516" t="s">
        <v>69</v>
      </c>
      <c r="F516" t="s">
        <v>121</v>
      </c>
      <c r="G516" t="s">
        <v>122</v>
      </c>
      <c r="H516" t="s">
        <v>118</v>
      </c>
      <c r="I516" t="s">
        <v>26</v>
      </c>
      <c r="J516">
        <v>550</v>
      </c>
      <c r="K516">
        <v>7964.17</v>
      </c>
      <c r="L516">
        <v>740.96</v>
      </c>
      <c r="M516">
        <v>9.3000000000000013E-2</v>
      </c>
      <c r="N516">
        <v>1030.19</v>
      </c>
      <c r="O516">
        <v>0.12939999999999999</v>
      </c>
      <c r="P516">
        <v>5.97</v>
      </c>
      <c r="Q516">
        <v>0.23899999999999999</v>
      </c>
      <c r="R516">
        <v>23.18</v>
      </c>
      <c r="S516">
        <v>84.06</v>
      </c>
      <c r="T516">
        <v>101.78</v>
      </c>
      <c r="U516">
        <v>80000</v>
      </c>
      <c r="V516">
        <v>7280000</v>
      </c>
    </row>
    <row r="517" spans="1:22" x14ac:dyDescent="0.25">
      <c r="A517" t="s">
        <v>74</v>
      </c>
      <c r="B517" t="s">
        <v>75</v>
      </c>
      <c r="C517" t="str">
        <f t="shared" si="16"/>
        <v>2024</v>
      </c>
      <c r="D517" t="str">
        <f t="shared" si="17"/>
        <v>07</v>
      </c>
      <c r="E517" t="s">
        <v>69</v>
      </c>
      <c r="F517" t="s">
        <v>121</v>
      </c>
      <c r="G517" t="s">
        <v>122</v>
      </c>
      <c r="H517" t="s">
        <v>118</v>
      </c>
      <c r="I517" t="s">
        <v>26</v>
      </c>
      <c r="J517">
        <v>550</v>
      </c>
      <c r="K517">
        <v>7689.25</v>
      </c>
      <c r="L517">
        <v>684.17</v>
      </c>
      <c r="M517">
        <v>8.900000000000001E-2</v>
      </c>
      <c r="N517">
        <v>479.79</v>
      </c>
      <c r="O517">
        <v>6.2400000000000004E-2</v>
      </c>
      <c r="P517">
        <v>5.67</v>
      </c>
      <c r="Q517">
        <v>0.22600000000000001</v>
      </c>
      <c r="R517">
        <v>6.84</v>
      </c>
      <c r="S517">
        <v>80.400000000000006</v>
      </c>
      <c r="T517">
        <v>93.98</v>
      </c>
      <c r="U517">
        <v>80000</v>
      </c>
      <c r="V517">
        <v>7280000</v>
      </c>
    </row>
    <row r="518" spans="1:22" x14ac:dyDescent="0.25">
      <c r="A518" t="s">
        <v>76</v>
      </c>
      <c r="B518" t="s">
        <v>77</v>
      </c>
      <c r="C518" t="str">
        <f t="shared" si="16"/>
        <v>2024</v>
      </c>
      <c r="D518" t="str">
        <f t="shared" si="17"/>
        <v>10</v>
      </c>
      <c r="E518" t="s">
        <v>69</v>
      </c>
      <c r="F518" t="s">
        <v>121</v>
      </c>
      <c r="G518" t="s">
        <v>122</v>
      </c>
      <c r="H518" t="s">
        <v>118</v>
      </c>
      <c r="I518" t="s">
        <v>26</v>
      </c>
      <c r="J518">
        <v>550</v>
      </c>
      <c r="K518">
        <v>7340.47</v>
      </c>
      <c r="L518">
        <v>819.15</v>
      </c>
      <c r="M518">
        <v>0.1116</v>
      </c>
      <c r="N518">
        <v>723.01</v>
      </c>
      <c r="O518">
        <v>9.849999999999999E-2</v>
      </c>
      <c r="P518">
        <v>4.82</v>
      </c>
      <c r="Q518">
        <v>0.44600000000000001</v>
      </c>
      <c r="R518">
        <v>91.42</v>
      </c>
      <c r="S518">
        <v>94.78</v>
      </c>
      <c r="T518">
        <v>112.52</v>
      </c>
      <c r="U518">
        <v>80000</v>
      </c>
      <c r="V518">
        <v>7280000</v>
      </c>
    </row>
    <row r="519" spans="1:22" x14ac:dyDescent="0.25">
      <c r="A519" t="s">
        <v>78</v>
      </c>
      <c r="B519" t="s">
        <v>79</v>
      </c>
      <c r="C519" t="str">
        <f t="shared" si="16"/>
        <v>2025</v>
      </c>
      <c r="D519" t="str">
        <f t="shared" si="17"/>
        <v>01</v>
      </c>
      <c r="E519" t="s">
        <v>80</v>
      </c>
      <c r="F519" t="s">
        <v>121</v>
      </c>
      <c r="G519" t="s">
        <v>122</v>
      </c>
      <c r="H519" t="s">
        <v>118</v>
      </c>
      <c r="I519" t="s">
        <v>26</v>
      </c>
      <c r="J519">
        <v>550</v>
      </c>
      <c r="K519">
        <v>7307.33</v>
      </c>
      <c r="L519">
        <v>739.21</v>
      </c>
      <c r="M519">
        <v>0.1012</v>
      </c>
      <c r="N519">
        <v>696.72</v>
      </c>
      <c r="O519">
        <v>9.5299999999999996E-2</v>
      </c>
      <c r="P519">
        <v>5.09</v>
      </c>
      <c r="Q519">
        <v>0.36799999999999999</v>
      </c>
      <c r="R519">
        <v>34.880000000000003</v>
      </c>
      <c r="S519">
        <v>85.13</v>
      </c>
      <c r="T519">
        <v>101.54</v>
      </c>
      <c r="U519">
        <v>80000</v>
      </c>
      <c r="V519">
        <v>7280000</v>
      </c>
    </row>
    <row r="520" spans="1:22" x14ac:dyDescent="0.25">
      <c r="A520" t="s">
        <v>81</v>
      </c>
      <c r="B520" t="s">
        <v>82</v>
      </c>
      <c r="C520" t="str">
        <f t="shared" si="16"/>
        <v>2025</v>
      </c>
      <c r="D520" t="str">
        <f t="shared" si="17"/>
        <v>04</v>
      </c>
      <c r="E520" t="s">
        <v>80</v>
      </c>
      <c r="F520" t="s">
        <v>121</v>
      </c>
      <c r="G520" t="s">
        <v>122</v>
      </c>
      <c r="H520" t="s">
        <v>118</v>
      </c>
      <c r="I520" t="s">
        <v>26</v>
      </c>
      <c r="J520">
        <v>550</v>
      </c>
      <c r="K520">
        <v>7364.81</v>
      </c>
      <c r="L520">
        <v>876.73</v>
      </c>
      <c r="M520">
        <v>0.11900000000000001</v>
      </c>
      <c r="N520">
        <v>523.19000000000005</v>
      </c>
      <c r="O520">
        <v>7.0999999999999994E-2</v>
      </c>
      <c r="P520">
        <v>4.8600000000000003</v>
      </c>
      <c r="Q520">
        <v>0.505</v>
      </c>
      <c r="R520">
        <v>149.69999999999999</v>
      </c>
      <c r="S520">
        <v>101.77</v>
      </c>
      <c r="T520">
        <v>120.43</v>
      </c>
      <c r="U520">
        <v>80000</v>
      </c>
      <c r="V520">
        <v>7280000</v>
      </c>
    </row>
    <row r="521" spans="1:22" x14ac:dyDescent="0.25">
      <c r="A521" t="s">
        <v>83</v>
      </c>
      <c r="B521" t="s">
        <v>84</v>
      </c>
      <c r="C521" t="str">
        <f t="shared" si="16"/>
        <v>2025</v>
      </c>
      <c r="D521" t="str">
        <f t="shared" si="17"/>
        <v>07</v>
      </c>
      <c r="E521" t="s">
        <v>80</v>
      </c>
      <c r="F521" t="s">
        <v>121</v>
      </c>
      <c r="G521" t="s">
        <v>122</v>
      </c>
      <c r="H521" t="s">
        <v>118</v>
      </c>
      <c r="I521" t="s">
        <v>26</v>
      </c>
      <c r="J521">
        <v>550</v>
      </c>
      <c r="K521">
        <v>7193.36</v>
      </c>
      <c r="L521">
        <v>816.96</v>
      </c>
      <c r="M521">
        <v>0.11359999999999999</v>
      </c>
      <c r="N521">
        <v>558.52</v>
      </c>
      <c r="O521">
        <v>7.7600000000000002E-2</v>
      </c>
      <c r="P521">
        <v>5.07</v>
      </c>
      <c r="Q521">
        <v>0.127</v>
      </c>
      <c r="R521">
        <v>25.62</v>
      </c>
      <c r="S521">
        <v>93.24</v>
      </c>
      <c r="T521">
        <v>112.22</v>
      </c>
      <c r="U521">
        <v>80000</v>
      </c>
      <c r="V521">
        <v>7280000</v>
      </c>
    </row>
    <row r="522" spans="1:22" x14ac:dyDescent="0.25">
      <c r="A522" t="s">
        <v>85</v>
      </c>
      <c r="B522" t="s">
        <v>86</v>
      </c>
      <c r="C522" t="str">
        <f t="shared" si="16"/>
        <v>2025</v>
      </c>
      <c r="D522" t="str">
        <f t="shared" si="17"/>
        <v>10</v>
      </c>
      <c r="E522" t="s">
        <v>80</v>
      </c>
      <c r="F522" t="s">
        <v>121</v>
      </c>
      <c r="G522" t="s">
        <v>122</v>
      </c>
      <c r="H522" t="s">
        <v>118</v>
      </c>
      <c r="I522" t="s">
        <v>26</v>
      </c>
      <c r="J522">
        <v>550</v>
      </c>
      <c r="K522">
        <v>7500.2</v>
      </c>
      <c r="L522">
        <v>812.96</v>
      </c>
      <c r="M522">
        <v>0.1084</v>
      </c>
      <c r="N522">
        <v>613.58000000000004</v>
      </c>
      <c r="O522">
        <v>8.1799999999999998E-2</v>
      </c>
      <c r="P522">
        <v>5.04</v>
      </c>
      <c r="Q522">
        <v>0.41600000000000004</v>
      </c>
      <c r="R522">
        <v>81.430000000000007</v>
      </c>
      <c r="S522">
        <v>99.34</v>
      </c>
      <c r="T522">
        <v>111.67</v>
      </c>
      <c r="U522">
        <v>80000</v>
      </c>
      <c r="V522">
        <v>7280000</v>
      </c>
    </row>
    <row r="523" spans="1:22" x14ac:dyDescent="0.25">
      <c r="A523" t="s">
        <v>87</v>
      </c>
      <c r="B523" t="s">
        <v>88</v>
      </c>
      <c r="C523" t="str">
        <f t="shared" si="16"/>
        <v>2026</v>
      </c>
      <c r="D523" t="str">
        <f t="shared" si="17"/>
        <v>01</v>
      </c>
      <c r="E523" t="s">
        <v>89</v>
      </c>
      <c r="F523" t="s">
        <v>121</v>
      </c>
      <c r="G523" t="s">
        <v>122</v>
      </c>
      <c r="H523" t="s">
        <v>118</v>
      </c>
      <c r="I523" t="s">
        <v>26</v>
      </c>
      <c r="J523">
        <v>550</v>
      </c>
      <c r="K523">
        <v>5296.28</v>
      </c>
      <c r="L523">
        <v>1068.7</v>
      </c>
      <c r="M523">
        <v>0.20180000000000001</v>
      </c>
      <c r="N523">
        <v>-1114.8</v>
      </c>
      <c r="O523">
        <v>-0.21050000000000002</v>
      </c>
      <c r="P523">
        <v>3.86</v>
      </c>
      <c r="Q523">
        <v>0.40799999999999997</v>
      </c>
      <c r="R523">
        <v>275.18</v>
      </c>
      <c r="S523">
        <v>130.88</v>
      </c>
      <c r="T523">
        <v>146.80000000000001</v>
      </c>
      <c r="U523">
        <v>80000</v>
      </c>
      <c r="V523">
        <v>7280000</v>
      </c>
    </row>
    <row r="524" spans="1:22" x14ac:dyDescent="0.25">
      <c r="A524" t="s">
        <v>20</v>
      </c>
      <c r="B524" t="s">
        <v>21</v>
      </c>
      <c r="C524" t="str">
        <f t="shared" si="16"/>
        <v>2019</v>
      </c>
      <c r="D524" t="str">
        <f t="shared" si="17"/>
        <v>01</v>
      </c>
      <c r="E524" t="s">
        <v>22</v>
      </c>
      <c r="F524" t="s">
        <v>123</v>
      </c>
      <c r="G524" t="s">
        <v>124</v>
      </c>
      <c r="H524" t="s">
        <v>118</v>
      </c>
      <c r="I524" t="s">
        <v>26</v>
      </c>
      <c r="J524">
        <v>432</v>
      </c>
      <c r="K524">
        <v>4627.08</v>
      </c>
      <c r="L524">
        <v>475.07</v>
      </c>
      <c r="M524">
        <v>0.1027</v>
      </c>
      <c r="N524">
        <v>501.14</v>
      </c>
      <c r="O524">
        <v>0.10830000000000001</v>
      </c>
      <c r="P524">
        <v>4.0999999999999996</v>
      </c>
      <c r="Q524">
        <v>0.34299999999999997</v>
      </c>
      <c r="R524">
        <v>0</v>
      </c>
      <c r="S524">
        <v>63</v>
      </c>
      <c r="T524">
        <v>74.58</v>
      </c>
      <c r="U524">
        <v>70000</v>
      </c>
      <c r="V524">
        <v>6370000</v>
      </c>
    </row>
    <row r="525" spans="1:22" x14ac:dyDescent="0.25">
      <c r="A525" t="s">
        <v>27</v>
      </c>
      <c r="B525" t="s">
        <v>28</v>
      </c>
      <c r="C525" t="str">
        <f t="shared" si="16"/>
        <v>2019</v>
      </c>
      <c r="D525" t="str">
        <f t="shared" si="17"/>
        <v>04</v>
      </c>
      <c r="E525" t="s">
        <v>22</v>
      </c>
      <c r="F525" t="s">
        <v>123</v>
      </c>
      <c r="G525" t="s">
        <v>124</v>
      </c>
      <c r="H525" t="s">
        <v>118</v>
      </c>
      <c r="I525" t="s">
        <v>26</v>
      </c>
      <c r="J525">
        <v>432</v>
      </c>
      <c r="K525">
        <v>4668.22</v>
      </c>
      <c r="L525">
        <v>467.18</v>
      </c>
      <c r="M525">
        <v>0.10009999999999999</v>
      </c>
      <c r="N525">
        <v>646.21</v>
      </c>
      <c r="O525">
        <v>0.1384</v>
      </c>
      <c r="P525">
        <v>4.3600000000000003</v>
      </c>
      <c r="Q525">
        <v>0.161</v>
      </c>
      <c r="R525">
        <v>0</v>
      </c>
      <c r="S525">
        <v>64.790000000000006</v>
      </c>
      <c r="T525">
        <v>73.34</v>
      </c>
      <c r="U525">
        <v>70000</v>
      </c>
      <c r="V525">
        <v>6370000</v>
      </c>
    </row>
    <row r="526" spans="1:22" x14ac:dyDescent="0.25">
      <c r="A526" t="s">
        <v>29</v>
      </c>
      <c r="B526" t="s">
        <v>30</v>
      </c>
      <c r="C526" t="str">
        <f t="shared" si="16"/>
        <v>2019</v>
      </c>
      <c r="D526" t="str">
        <f t="shared" si="17"/>
        <v>07</v>
      </c>
      <c r="E526" t="s">
        <v>22</v>
      </c>
      <c r="F526" t="s">
        <v>123</v>
      </c>
      <c r="G526" t="s">
        <v>124</v>
      </c>
      <c r="H526" t="s">
        <v>118</v>
      </c>
      <c r="I526" t="s">
        <v>26</v>
      </c>
      <c r="J526">
        <v>432</v>
      </c>
      <c r="K526">
        <v>4609.54</v>
      </c>
      <c r="L526">
        <v>452.97</v>
      </c>
      <c r="M526">
        <v>9.8299999999999998E-2</v>
      </c>
      <c r="N526">
        <v>541.24</v>
      </c>
      <c r="O526">
        <v>0.1174</v>
      </c>
      <c r="P526">
        <v>4.0199999999999996</v>
      </c>
      <c r="Q526">
        <v>5.9000000000000004E-2</v>
      </c>
      <c r="R526">
        <v>0</v>
      </c>
      <c r="S526">
        <v>60.46</v>
      </c>
      <c r="T526">
        <v>71.11</v>
      </c>
      <c r="U526">
        <v>70000</v>
      </c>
      <c r="V526">
        <v>6370000</v>
      </c>
    </row>
    <row r="527" spans="1:22" x14ac:dyDescent="0.25">
      <c r="A527" t="s">
        <v>31</v>
      </c>
      <c r="B527" t="s">
        <v>32</v>
      </c>
      <c r="C527" t="str">
        <f t="shared" si="16"/>
        <v>2019</v>
      </c>
      <c r="D527" t="str">
        <f t="shared" si="17"/>
        <v>10</v>
      </c>
      <c r="E527" t="s">
        <v>22</v>
      </c>
      <c r="F527" t="s">
        <v>123</v>
      </c>
      <c r="G527" t="s">
        <v>124</v>
      </c>
      <c r="H527" t="s">
        <v>118</v>
      </c>
      <c r="I527" t="s">
        <v>26</v>
      </c>
      <c r="J527">
        <v>432</v>
      </c>
      <c r="K527">
        <v>4486.75</v>
      </c>
      <c r="L527">
        <v>490.3</v>
      </c>
      <c r="M527">
        <v>0.10929999999999999</v>
      </c>
      <c r="N527">
        <v>365.2</v>
      </c>
      <c r="O527">
        <v>8.14E-2</v>
      </c>
      <c r="P527">
        <v>3.93</v>
      </c>
      <c r="Q527">
        <v>0.45899999999999996</v>
      </c>
      <c r="R527">
        <v>0</v>
      </c>
      <c r="S527">
        <v>65.66</v>
      </c>
      <c r="T527">
        <v>76.97</v>
      </c>
      <c r="U527">
        <v>70000</v>
      </c>
      <c r="V527">
        <v>6370000</v>
      </c>
    </row>
    <row r="528" spans="1:22" x14ac:dyDescent="0.25">
      <c r="A528" t="s">
        <v>33</v>
      </c>
      <c r="B528" t="s">
        <v>34</v>
      </c>
      <c r="C528" t="str">
        <f t="shared" si="16"/>
        <v>2020</v>
      </c>
      <c r="D528" t="str">
        <f t="shared" si="17"/>
        <v>01</v>
      </c>
      <c r="E528" t="s">
        <v>22</v>
      </c>
      <c r="F528" t="s">
        <v>123</v>
      </c>
      <c r="G528" t="s">
        <v>124</v>
      </c>
      <c r="H528" t="s">
        <v>118</v>
      </c>
      <c r="I528" t="s">
        <v>26</v>
      </c>
      <c r="J528">
        <v>432</v>
      </c>
      <c r="K528">
        <v>4816.1899999999996</v>
      </c>
      <c r="L528">
        <v>480.17</v>
      </c>
      <c r="M528">
        <v>9.9700000000000011E-2</v>
      </c>
      <c r="N528">
        <v>563.54999999999995</v>
      </c>
      <c r="O528">
        <v>0.11699999999999999</v>
      </c>
      <c r="P528">
        <v>4.1399999999999997</v>
      </c>
      <c r="Q528">
        <v>0.40600000000000003</v>
      </c>
      <c r="R528">
        <v>0</v>
      </c>
      <c r="S528">
        <v>66.66</v>
      </c>
      <c r="T528">
        <v>75.38</v>
      </c>
      <c r="U528">
        <v>70000</v>
      </c>
      <c r="V528">
        <v>6370000</v>
      </c>
    </row>
    <row r="529" spans="1:22" x14ac:dyDescent="0.25">
      <c r="A529" t="s">
        <v>35</v>
      </c>
      <c r="B529" t="s">
        <v>36</v>
      </c>
      <c r="C529" t="str">
        <f t="shared" si="16"/>
        <v>2020</v>
      </c>
      <c r="D529" t="str">
        <f t="shared" si="17"/>
        <v>04</v>
      </c>
      <c r="E529" t="s">
        <v>37</v>
      </c>
      <c r="F529" t="s">
        <v>123</v>
      </c>
      <c r="G529" t="s">
        <v>124</v>
      </c>
      <c r="H529" t="s">
        <v>118</v>
      </c>
      <c r="I529" t="s">
        <v>26</v>
      </c>
      <c r="J529">
        <v>432</v>
      </c>
      <c r="K529">
        <v>1537.56</v>
      </c>
      <c r="L529">
        <v>150.91</v>
      </c>
      <c r="M529">
        <v>9.8100000000000007E-2</v>
      </c>
      <c r="N529">
        <v>-665.27</v>
      </c>
      <c r="O529">
        <v>-0.43270000000000003</v>
      </c>
      <c r="P529">
        <v>1.43</v>
      </c>
      <c r="Q529">
        <v>0.46500000000000002</v>
      </c>
      <c r="R529">
        <v>0</v>
      </c>
      <c r="S529">
        <v>20.57</v>
      </c>
      <c r="T529">
        <v>23.69</v>
      </c>
      <c r="U529">
        <v>70000</v>
      </c>
      <c r="V529">
        <v>6370000</v>
      </c>
    </row>
    <row r="530" spans="1:22" x14ac:dyDescent="0.25">
      <c r="A530" t="s">
        <v>38</v>
      </c>
      <c r="B530" t="s">
        <v>39</v>
      </c>
      <c r="C530" t="str">
        <f t="shared" si="16"/>
        <v>2020</v>
      </c>
      <c r="D530" t="str">
        <f t="shared" si="17"/>
        <v>07</v>
      </c>
      <c r="E530" t="s">
        <v>37</v>
      </c>
      <c r="F530" t="s">
        <v>123</v>
      </c>
      <c r="G530" t="s">
        <v>124</v>
      </c>
      <c r="H530" t="s">
        <v>118</v>
      </c>
      <c r="I530" t="s">
        <v>26</v>
      </c>
      <c r="J530">
        <v>432</v>
      </c>
      <c r="K530">
        <v>1451.39</v>
      </c>
      <c r="L530">
        <v>321.24</v>
      </c>
      <c r="M530">
        <v>0.2213</v>
      </c>
      <c r="N530">
        <v>-555.5</v>
      </c>
      <c r="O530">
        <v>-0.38270000000000004</v>
      </c>
      <c r="P530">
        <v>1.27</v>
      </c>
      <c r="Q530">
        <v>0.156</v>
      </c>
      <c r="R530">
        <v>0</v>
      </c>
      <c r="S530">
        <v>44.05</v>
      </c>
      <c r="T530">
        <v>50.43</v>
      </c>
      <c r="U530">
        <v>70000</v>
      </c>
      <c r="V530">
        <v>6370000</v>
      </c>
    </row>
    <row r="531" spans="1:22" x14ac:dyDescent="0.25">
      <c r="A531" t="s">
        <v>40</v>
      </c>
      <c r="B531" t="s">
        <v>41</v>
      </c>
      <c r="C531" t="str">
        <f t="shared" si="16"/>
        <v>2020</v>
      </c>
      <c r="D531" t="str">
        <f t="shared" si="17"/>
        <v>10</v>
      </c>
      <c r="E531" t="s">
        <v>37</v>
      </c>
      <c r="F531" t="s">
        <v>123</v>
      </c>
      <c r="G531" t="s">
        <v>124</v>
      </c>
      <c r="H531" t="s">
        <v>118</v>
      </c>
      <c r="I531" t="s">
        <v>26</v>
      </c>
      <c r="J531">
        <v>432</v>
      </c>
      <c r="K531">
        <v>995.07</v>
      </c>
      <c r="L531">
        <v>290.85000000000002</v>
      </c>
      <c r="M531">
        <v>0.2923</v>
      </c>
      <c r="N531">
        <v>-206.85</v>
      </c>
      <c r="O531">
        <v>-0.2079</v>
      </c>
      <c r="P531">
        <v>0.88</v>
      </c>
      <c r="Q531">
        <v>0.55200000000000005</v>
      </c>
      <c r="R531">
        <v>0</v>
      </c>
      <c r="S531">
        <v>39.950000000000003</v>
      </c>
      <c r="T531">
        <v>45.66</v>
      </c>
      <c r="U531">
        <v>70000</v>
      </c>
      <c r="V531">
        <v>6370000</v>
      </c>
    </row>
    <row r="532" spans="1:22" x14ac:dyDescent="0.25">
      <c r="A532" t="s">
        <v>42</v>
      </c>
      <c r="B532" t="s">
        <v>43</v>
      </c>
      <c r="C532" t="str">
        <f t="shared" si="16"/>
        <v>2021</v>
      </c>
      <c r="D532" t="str">
        <f t="shared" si="17"/>
        <v>01</v>
      </c>
      <c r="E532" t="s">
        <v>37</v>
      </c>
      <c r="F532" t="s">
        <v>123</v>
      </c>
      <c r="G532" t="s">
        <v>124</v>
      </c>
      <c r="H532" t="s">
        <v>118</v>
      </c>
      <c r="I532" t="s">
        <v>26</v>
      </c>
      <c r="J532">
        <v>432</v>
      </c>
      <c r="K532">
        <v>1452.19</v>
      </c>
      <c r="L532">
        <v>546.35</v>
      </c>
      <c r="M532">
        <v>0.37619999999999998</v>
      </c>
      <c r="N532">
        <v>-492.1</v>
      </c>
      <c r="O532">
        <v>-0.33889999999999998</v>
      </c>
      <c r="P532">
        <v>1.42</v>
      </c>
      <c r="Q532">
        <v>0.54700000000000004</v>
      </c>
      <c r="R532">
        <v>0</v>
      </c>
      <c r="S532">
        <v>75.489999999999995</v>
      </c>
      <c r="T532">
        <v>85.77</v>
      </c>
      <c r="U532">
        <v>70000</v>
      </c>
      <c r="V532">
        <v>6370000</v>
      </c>
    </row>
    <row r="533" spans="1:22" x14ac:dyDescent="0.25">
      <c r="A533" t="s">
        <v>44</v>
      </c>
      <c r="B533" t="s">
        <v>45</v>
      </c>
      <c r="C533" t="str">
        <f t="shared" si="16"/>
        <v>2021</v>
      </c>
      <c r="D533" t="str">
        <f t="shared" si="17"/>
        <v>04</v>
      </c>
      <c r="E533" t="s">
        <v>37</v>
      </c>
      <c r="F533" t="s">
        <v>123</v>
      </c>
      <c r="G533" t="s">
        <v>124</v>
      </c>
      <c r="H533" t="s">
        <v>118</v>
      </c>
      <c r="I533" t="s">
        <v>26</v>
      </c>
      <c r="J533">
        <v>432</v>
      </c>
      <c r="K533">
        <v>1158.73</v>
      </c>
      <c r="L533">
        <v>579.16</v>
      </c>
      <c r="M533">
        <v>0.49979999999999997</v>
      </c>
      <c r="N533">
        <v>-431.71</v>
      </c>
      <c r="O533">
        <v>-0.37259999999999999</v>
      </c>
      <c r="P533">
        <v>0.95</v>
      </c>
      <c r="Q533">
        <v>0.30199999999999999</v>
      </c>
      <c r="R533">
        <v>1.79</v>
      </c>
      <c r="S533">
        <v>76.83</v>
      </c>
      <c r="T533">
        <v>90.92</v>
      </c>
      <c r="U533">
        <v>70000</v>
      </c>
      <c r="V533">
        <v>6370000</v>
      </c>
    </row>
    <row r="534" spans="1:22" x14ac:dyDescent="0.25">
      <c r="A534" t="s">
        <v>46</v>
      </c>
      <c r="B534" t="s">
        <v>47</v>
      </c>
      <c r="C534" t="str">
        <f t="shared" si="16"/>
        <v>2021</v>
      </c>
      <c r="D534" t="str">
        <f t="shared" si="17"/>
        <v>07</v>
      </c>
      <c r="E534" t="s">
        <v>48</v>
      </c>
      <c r="F534" t="s">
        <v>123</v>
      </c>
      <c r="G534" t="s">
        <v>124</v>
      </c>
      <c r="H534" t="s">
        <v>118</v>
      </c>
      <c r="I534" t="s">
        <v>26</v>
      </c>
      <c r="J534">
        <v>432</v>
      </c>
      <c r="K534">
        <v>3393.41</v>
      </c>
      <c r="L534">
        <v>572.79</v>
      </c>
      <c r="M534">
        <v>0.16879999999999998</v>
      </c>
      <c r="N534">
        <v>144.15</v>
      </c>
      <c r="O534">
        <v>4.2500000000000003E-2</v>
      </c>
      <c r="P534">
        <v>2.74</v>
      </c>
      <c r="Q534">
        <v>0.54</v>
      </c>
      <c r="R534">
        <v>0</v>
      </c>
      <c r="S534">
        <v>78.97</v>
      </c>
      <c r="T534">
        <v>89.92</v>
      </c>
      <c r="U534">
        <v>70000</v>
      </c>
      <c r="V534">
        <v>6370000</v>
      </c>
    </row>
    <row r="535" spans="1:22" x14ac:dyDescent="0.25">
      <c r="A535" t="s">
        <v>49</v>
      </c>
      <c r="B535" t="s">
        <v>50</v>
      </c>
      <c r="C535" t="str">
        <f t="shared" si="16"/>
        <v>2021</v>
      </c>
      <c r="D535" t="str">
        <f t="shared" si="17"/>
        <v>10</v>
      </c>
      <c r="E535" t="s">
        <v>48</v>
      </c>
      <c r="F535" t="s">
        <v>123</v>
      </c>
      <c r="G535" t="s">
        <v>124</v>
      </c>
      <c r="H535" t="s">
        <v>118</v>
      </c>
      <c r="I535" t="s">
        <v>26</v>
      </c>
      <c r="J535">
        <v>432</v>
      </c>
      <c r="K535">
        <v>3446.63</v>
      </c>
      <c r="L535">
        <v>664.07</v>
      </c>
      <c r="M535">
        <v>0.19269999999999998</v>
      </c>
      <c r="N535">
        <v>38.14</v>
      </c>
      <c r="O535">
        <v>1.11E-2</v>
      </c>
      <c r="P535">
        <v>2.88</v>
      </c>
      <c r="Q535">
        <v>0.60899999999999999</v>
      </c>
      <c r="R535">
        <v>64.03</v>
      </c>
      <c r="S535">
        <v>86.82</v>
      </c>
      <c r="T535">
        <v>104.25</v>
      </c>
      <c r="U535">
        <v>70000</v>
      </c>
      <c r="V535">
        <v>6370000</v>
      </c>
    </row>
    <row r="536" spans="1:22" x14ac:dyDescent="0.25">
      <c r="A536" t="s">
        <v>51</v>
      </c>
      <c r="B536" t="s">
        <v>52</v>
      </c>
      <c r="C536" t="str">
        <f t="shared" si="16"/>
        <v>2022</v>
      </c>
      <c r="D536" t="str">
        <f t="shared" si="17"/>
        <v>01</v>
      </c>
      <c r="E536" t="s">
        <v>48</v>
      </c>
      <c r="F536" t="s">
        <v>123</v>
      </c>
      <c r="G536" t="s">
        <v>124</v>
      </c>
      <c r="H536" t="s">
        <v>118</v>
      </c>
      <c r="I536" t="s">
        <v>26</v>
      </c>
      <c r="J536">
        <v>432</v>
      </c>
      <c r="K536">
        <v>3429.48</v>
      </c>
      <c r="L536">
        <v>518.77</v>
      </c>
      <c r="M536">
        <v>0.15130000000000002</v>
      </c>
      <c r="N536">
        <v>204.24</v>
      </c>
      <c r="O536">
        <v>5.96E-2</v>
      </c>
      <c r="P536">
        <v>2.9</v>
      </c>
      <c r="Q536">
        <v>6.3E-2</v>
      </c>
      <c r="R536">
        <v>0</v>
      </c>
      <c r="S536">
        <v>72.010000000000005</v>
      </c>
      <c r="T536">
        <v>81.44</v>
      </c>
      <c r="U536">
        <v>70000</v>
      </c>
      <c r="V536">
        <v>6370000</v>
      </c>
    </row>
    <row r="537" spans="1:22" x14ac:dyDescent="0.25">
      <c r="A537" t="s">
        <v>53</v>
      </c>
      <c r="B537" t="s">
        <v>54</v>
      </c>
      <c r="C537" t="str">
        <f t="shared" si="16"/>
        <v>2022</v>
      </c>
      <c r="D537" t="str">
        <f t="shared" si="17"/>
        <v>04</v>
      </c>
      <c r="E537" t="s">
        <v>55</v>
      </c>
      <c r="F537" t="s">
        <v>123</v>
      </c>
      <c r="G537" t="s">
        <v>124</v>
      </c>
      <c r="H537" t="s">
        <v>118</v>
      </c>
      <c r="I537" t="s">
        <v>26</v>
      </c>
      <c r="J537">
        <v>432</v>
      </c>
      <c r="K537">
        <v>4827.62</v>
      </c>
      <c r="L537">
        <v>838.48</v>
      </c>
      <c r="M537">
        <v>0.17370000000000002</v>
      </c>
      <c r="N537">
        <v>476.74</v>
      </c>
      <c r="O537">
        <v>9.8800000000000013E-2</v>
      </c>
      <c r="P537">
        <v>4.43</v>
      </c>
      <c r="Q537">
        <v>0.39600000000000002</v>
      </c>
      <c r="R537">
        <v>153.59</v>
      </c>
      <c r="S537">
        <v>109.53</v>
      </c>
      <c r="T537">
        <v>131.63</v>
      </c>
      <c r="U537">
        <v>70000</v>
      </c>
      <c r="V537">
        <v>6370000</v>
      </c>
    </row>
    <row r="538" spans="1:22" x14ac:dyDescent="0.25">
      <c r="A538" t="s">
        <v>56</v>
      </c>
      <c r="B538" t="s">
        <v>57</v>
      </c>
      <c r="C538" t="str">
        <f t="shared" si="16"/>
        <v>2022</v>
      </c>
      <c r="D538" t="str">
        <f t="shared" si="17"/>
        <v>07</v>
      </c>
      <c r="E538" t="s">
        <v>55</v>
      </c>
      <c r="F538" t="s">
        <v>123</v>
      </c>
      <c r="G538" t="s">
        <v>124</v>
      </c>
      <c r="H538" t="s">
        <v>118</v>
      </c>
      <c r="I538" t="s">
        <v>26</v>
      </c>
      <c r="J538">
        <v>432</v>
      </c>
      <c r="K538">
        <v>4645.7</v>
      </c>
      <c r="L538">
        <v>601.9</v>
      </c>
      <c r="M538">
        <v>0.12960000000000002</v>
      </c>
      <c r="N538">
        <v>198.39</v>
      </c>
      <c r="O538">
        <v>4.2699999999999995E-2</v>
      </c>
      <c r="P538">
        <v>4.08</v>
      </c>
      <c r="Q538">
        <v>9.6999999999999989E-2</v>
      </c>
      <c r="R538">
        <v>2.91</v>
      </c>
      <c r="S538">
        <v>80.69</v>
      </c>
      <c r="T538">
        <v>94.49</v>
      </c>
      <c r="U538">
        <v>70000</v>
      </c>
      <c r="V538">
        <v>6370000</v>
      </c>
    </row>
    <row r="539" spans="1:22" x14ac:dyDescent="0.25">
      <c r="A539" t="s">
        <v>58</v>
      </c>
      <c r="B539" t="s">
        <v>59</v>
      </c>
      <c r="C539" t="str">
        <f t="shared" si="16"/>
        <v>2022</v>
      </c>
      <c r="D539" t="str">
        <f t="shared" si="17"/>
        <v>10</v>
      </c>
      <c r="E539" t="s">
        <v>55</v>
      </c>
      <c r="F539" t="s">
        <v>123</v>
      </c>
      <c r="G539" t="s">
        <v>124</v>
      </c>
      <c r="H539" t="s">
        <v>118</v>
      </c>
      <c r="I539" t="s">
        <v>26</v>
      </c>
      <c r="J539">
        <v>432</v>
      </c>
      <c r="K539">
        <v>4476.1899999999996</v>
      </c>
      <c r="L539">
        <v>672.42</v>
      </c>
      <c r="M539">
        <v>0.1502</v>
      </c>
      <c r="N539">
        <v>264.05</v>
      </c>
      <c r="O539">
        <v>5.9000000000000004E-2</v>
      </c>
      <c r="P539">
        <v>3.71</v>
      </c>
      <c r="Q539">
        <v>0.51400000000000001</v>
      </c>
      <c r="R539">
        <v>59.75</v>
      </c>
      <c r="S539">
        <v>93.25</v>
      </c>
      <c r="T539">
        <v>105.56</v>
      </c>
      <c r="U539">
        <v>70000</v>
      </c>
      <c r="V539">
        <v>6370000</v>
      </c>
    </row>
    <row r="540" spans="1:22" x14ac:dyDescent="0.25">
      <c r="A540" t="s">
        <v>60</v>
      </c>
      <c r="B540" t="s">
        <v>61</v>
      </c>
      <c r="C540" t="str">
        <f t="shared" si="16"/>
        <v>2023</v>
      </c>
      <c r="D540" t="str">
        <f t="shared" si="17"/>
        <v>01</v>
      </c>
      <c r="E540" t="s">
        <v>62</v>
      </c>
      <c r="F540" t="s">
        <v>123</v>
      </c>
      <c r="G540" t="s">
        <v>124</v>
      </c>
      <c r="H540" t="s">
        <v>118</v>
      </c>
      <c r="I540" t="s">
        <v>26</v>
      </c>
      <c r="J540">
        <v>432</v>
      </c>
      <c r="K540">
        <v>4472.0600000000004</v>
      </c>
      <c r="L540">
        <v>618.72</v>
      </c>
      <c r="M540">
        <v>0.1384</v>
      </c>
      <c r="N540">
        <v>322.7</v>
      </c>
      <c r="O540">
        <v>7.22E-2</v>
      </c>
      <c r="P540">
        <v>4</v>
      </c>
      <c r="Q540">
        <v>0.60399999999999998</v>
      </c>
      <c r="R540">
        <v>29.61</v>
      </c>
      <c r="S540">
        <v>84.29</v>
      </c>
      <c r="T540">
        <v>97.13</v>
      </c>
      <c r="U540">
        <v>70000</v>
      </c>
      <c r="V540">
        <v>6370000</v>
      </c>
    </row>
    <row r="541" spans="1:22" x14ac:dyDescent="0.25">
      <c r="A541" t="s">
        <v>63</v>
      </c>
      <c r="B541" t="s">
        <v>64</v>
      </c>
      <c r="C541" t="str">
        <f t="shared" si="16"/>
        <v>2023</v>
      </c>
      <c r="D541" t="str">
        <f t="shared" si="17"/>
        <v>04</v>
      </c>
      <c r="E541" t="s">
        <v>62</v>
      </c>
      <c r="F541" t="s">
        <v>123</v>
      </c>
      <c r="G541" t="s">
        <v>124</v>
      </c>
      <c r="H541" t="s">
        <v>118</v>
      </c>
      <c r="I541" t="s">
        <v>26</v>
      </c>
      <c r="J541">
        <v>432</v>
      </c>
      <c r="K541">
        <v>4815.38</v>
      </c>
      <c r="L541">
        <v>649.54999999999995</v>
      </c>
      <c r="M541">
        <v>0.13489999999999999</v>
      </c>
      <c r="N541">
        <v>334.62</v>
      </c>
      <c r="O541">
        <v>6.9500000000000006E-2</v>
      </c>
      <c r="P541">
        <v>4.17</v>
      </c>
      <c r="Q541">
        <v>0.22</v>
      </c>
      <c r="R541">
        <v>19.010000000000002</v>
      </c>
      <c r="S541">
        <v>88.18</v>
      </c>
      <c r="T541">
        <v>101.97</v>
      </c>
      <c r="U541">
        <v>70000</v>
      </c>
      <c r="V541">
        <v>6370000</v>
      </c>
    </row>
    <row r="542" spans="1:22" x14ac:dyDescent="0.25">
      <c r="A542" t="s">
        <v>65</v>
      </c>
      <c r="B542" t="s">
        <v>66</v>
      </c>
      <c r="C542" t="str">
        <f t="shared" si="16"/>
        <v>2023</v>
      </c>
      <c r="D542" t="str">
        <f t="shared" si="17"/>
        <v>07</v>
      </c>
      <c r="E542" t="s">
        <v>62</v>
      </c>
      <c r="F542" t="s">
        <v>123</v>
      </c>
      <c r="G542" t="s">
        <v>124</v>
      </c>
      <c r="H542" t="s">
        <v>118</v>
      </c>
      <c r="I542" t="s">
        <v>26</v>
      </c>
      <c r="J542">
        <v>432</v>
      </c>
      <c r="K542">
        <v>4575.21</v>
      </c>
      <c r="L542">
        <v>621.20000000000005</v>
      </c>
      <c r="M542">
        <v>0.1358</v>
      </c>
      <c r="N542">
        <v>249.28</v>
      </c>
      <c r="O542">
        <v>5.45E-2</v>
      </c>
      <c r="P542">
        <v>4.0599999999999996</v>
      </c>
      <c r="Q542">
        <v>0.17600000000000002</v>
      </c>
      <c r="R542">
        <v>9.14</v>
      </c>
      <c r="S542">
        <v>85.16</v>
      </c>
      <c r="T542">
        <v>97.52</v>
      </c>
      <c r="U542">
        <v>70000</v>
      </c>
      <c r="V542">
        <v>6370000</v>
      </c>
    </row>
    <row r="543" spans="1:22" x14ac:dyDescent="0.25">
      <c r="A543" t="s">
        <v>67</v>
      </c>
      <c r="B543" t="s">
        <v>68</v>
      </c>
      <c r="C543" t="str">
        <f t="shared" si="16"/>
        <v>2023</v>
      </c>
      <c r="D543" t="str">
        <f t="shared" si="17"/>
        <v>10</v>
      </c>
      <c r="E543" t="s">
        <v>69</v>
      </c>
      <c r="F543" t="s">
        <v>123</v>
      </c>
      <c r="G543" t="s">
        <v>124</v>
      </c>
      <c r="H543" t="s">
        <v>118</v>
      </c>
      <c r="I543" t="s">
        <v>26</v>
      </c>
      <c r="J543">
        <v>432</v>
      </c>
      <c r="K543">
        <v>4521.12</v>
      </c>
      <c r="L543">
        <v>573.04999999999995</v>
      </c>
      <c r="M543">
        <v>0.12670000000000001</v>
      </c>
      <c r="N543">
        <v>278.72000000000003</v>
      </c>
      <c r="O543">
        <v>6.1600000000000002E-2</v>
      </c>
      <c r="P543">
        <v>4.05</v>
      </c>
      <c r="Q543">
        <v>0.16699999999999998</v>
      </c>
      <c r="R543">
        <v>0</v>
      </c>
      <c r="S543">
        <v>78.33</v>
      </c>
      <c r="T543">
        <v>89.96</v>
      </c>
      <c r="U543">
        <v>70000</v>
      </c>
      <c r="V543">
        <v>6370000</v>
      </c>
    </row>
    <row r="544" spans="1:22" x14ac:dyDescent="0.25">
      <c r="A544" t="s">
        <v>70</v>
      </c>
      <c r="B544" t="s">
        <v>71</v>
      </c>
      <c r="C544" t="str">
        <f t="shared" si="16"/>
        <v>2024</v>
      </c>
      <c r="D544" t="str">
        <f t="shared" si="17"/>
        <v>01</v>
      </c>
      <c r="E544" t="s">
        <v>69</v>
      </c>
      <c r="F544" t="s">
        <v>123</v>
      </c>
      <c r="G544" t="s">
        <v>124</v>
      </c>
      <c r="H544" t="s">
        <v>118</v>
      </c>
      <c r="I544" t="s">
        <v>26</v>
      </c>
      <c r="J544">
        <v>432</v>
      </c>
      <c r="K544">
        <v>4610.26</v>
      </c>
      <c r="L544">
        <v>630.76</v>
      </c>
      <c r="M544">
        <v>0.1368</v>
      </c>
      <c r="N544">
        <v>470.55</v>
      </c>
      <c r="O544">
        <v>0.10210000000000001</v>
      </c>
      <c r="P544">
        <v>4.2699999999999996</v>
      </c>
      <c r="Q544">
        <v>0.157</v>
      </c>
      <c r="R544">
        <v>9.92</v>
      </c>
      <c r="S544">
        <v>84.61</v>
      </c>
      <c r="T544">
        <v>99.02</v>
      </c>
      <c r="U544">
        <v>70000</v>
      </c>
      <c r="V544">
        <v>6370000</v>
      </c>
    </row>
    <row r="545" spans="1:22" x14ac:dyDescent="0.25">
      <c r="A545" t="s">
        <v>72</v>
      </c>
      <c r="B545" t="s">
        <v>73</v>
      </c>
      <c r="C545" t="str">
        <f t="shared" si="16"/>
        <v>2024</v>
      </c>
      <c r="D545" t="str">
        <f t="shared" si="17"/>
        <v>04</v>
      </c>
      <c r="E545" t="s">
        <v>69</v>
      </c>
      <c r="F545" t="s">
        <v>123</v>
      </c>
      <c r="G545" t="s">
        <v>124</v>
      </c>
      <c r="H545" t="s">
        <v>118</v>
      </c>
      <c r="I545" t="s">
        <v>26</v>
      </c>
      <c r="J545">
        <v>432</v>
      </c>
      <c r="K545">
        <v>4753.4799999999996</v>
      </c>
      <c r="L545">
        <v>648.34</v>
      </c>
      <c r="M545">
        <v>0.13639999999999999</v>
      </c>
      <c r="N545">
        <v>553.57000000000005</v>
      </c>
      <c r="O545">
        <v>0.11650000000000001</v>
      </c>
      <c r="P545">
        <v>4.4000000000000004</v>
      </c>
      <c r="Q545">
        <v>4.4999999999999998E-2</v>
      </c>
      <c r="R545">
        <v>3.82</v>
      </c>
      <c r="S545">
        <v>84.06</v>
      </c>
      <c r="T545">
        <v>101.78</v>
      </c>
      <c r="U545">
        <v>70000</v>
      </c>
      <c r="V545">
        <v>6370000</v>
      </c>
    </row>
    <row r="546" spans="1:22" x14ac:dyDescent="0.25">
      <c r="A546" t="s">
        <v>74</v>
      </c>
      <c r="B546" t="s">
        <v>75</v>
      </c>
      <c r="C546" t="str">
        <f t="shared" si="16"/>
        <v>2024</v>
      </c>
      <c r="D546" t="str">
        <f t="shared" si="17"/>
        <v>07</v>
      </c>
      <c r="E546" t="s">
        <v>69</v>
      </c>
      <c r="F546" t="s">
        <v>123</v>
      </c>
      <c r="G546" t="s">
        <v>124</v>
      </c>
      <c r="H546" t="s">
        <v>118</v>
      </c>
      <c r="I546" t="s">
        <v>26</v>
      </c>
      <c r="J546">
        <v>432</v>
      </c>
      <c r="K546">
        <v>4685</v>
      </c>
      <c r="L546">
        <v>598.65</v>
      </c>
      <c r="M546">
        <v>0.1278</v>
      </c>
      <c r="N546">
        <v>526.26</v>
      </c>
      <c r="O546">
        <v>0.11230000000000001</v>
      </c>
      <c r="P546">
        <v>3.91</v>
      </c>
      <c r="Q546">
        <v>0.127</v>
      </c>
      <c r="R546">
        <v>3.36</v>
      </c>
      <c r="S546">
        <v>80.400000000000006</v>
      </c>
      <c r="T546">
        <v>93.98</v>
      </c>
      <c r="U546">
        <v>70000</v>
      </c>
      <c r="V546">
        <v>6370000</v>
      </c>
    </row>
    <row r="547" spans="1:22" x14ac:dyDescent="0.25">
      <c r="A547" t="s">
        <v>76</v>
      </c>
      <c r="B547" t="s">
        <v>77</v>
      </c>
      <c r="C547" t="str">
        <f t="shared" si="16"/>
        <v>2024</v>
      </c>
      <c r="D547" t="str">
        <f t="shared" si="17"/>
        <v>10</v>
      </c>
      <c r="E547" t="s">
        <v>69</v>
      </c>
      <c r="F547" t="s">
        <v>123</v>
      </c>
      <c r="G547" t="s">
        <v>124</v>
      </c>
      <c r="H547" t="s">
        <v>118</v>
      </c>
      <c r="I547" t="s">
        <v>26</v>
      </c>
      <c r="J547">
        <v>432</v>
      </c>
      <c r="K547">
        <v>4850.03</v>
      </c>
      <c r="L547">
        <v>716.75</v>
      </c>
      <c r="M547">
        <v>0.14779999999999999</v>
      </c>
      <c r="N547">
        <v>331.62</v>
      </c>
      <c r="O547">
        <v>6.8400000000000002E-2</v>
      </c>
      <c r="P547">
        <v>4.17</v>
      </c>
      <c r="Q547">
        <v>0.34</v>
      </c>
      <c r="R547">
        <v>60.98</v>
      </c>
      <c r="S547">
        <v>94.78</v>
      </c>
      <c r="T547">
        <v>112.52</v>
      </c>
      <c r="U547">
        <v>70000</v>
      </c>
      <c r="V547">
        <v>6370000</v>
      </c>
    </row>
    <row r="548" spans="1:22" x14ac:dyDescent="0.25">
      <c r="A548" t="s">
        <v>78</v>
      </c>
      <c r="B548" t="s">
        <v>79</v>
      </c>
      <c r="C548" t="str">
        <f t="shared" si="16"/>
        <v>2025</v>
      </c>
      <c r="D548" t="str">
        <f t="shared" si="17"/>
        <v>01</v>
      </c>
      <c r="E548" t="s">
        <v>80</v>
      </c>
      <c r="F548" t="s">
        <v>123</v>
      </c>
      <c r="G548" t="s">
        <v>124</v>
      </c>
      <c r="H548" t="s">
        <v>118</v>
      </c>
      <c r="I548" t="s">
        <v>26</v>
      </c>
      <c r="J548">
        <v>432</v>
      </c>
      <c r="K548">
        <v>4923.6000000000004</v>
      </c>
      <c r="L548">
        <v>646.80999999999995</v>
      </c>
      <c r="M548">
        <v>0.13140000000000002</v>
      </c>
      <c r="N548">
        <v>442.28</v>
      </c>
      <c r="O548">
        <v>8.9800000000000005E-2</v>
      </c>
      <c r="P548">
        <v>4.74</v>
      </c>
      <c r="Q548">
        <v>6.9000000000000006E-2</v>
      </c>
      <c r="R548">
        <v>5.72</v>
      </c>
      <c r="S548">
        <v>85.13</v>
      </c>
      <c r="T548">
        <v>101.54</v>
      </c>
      <c r="U548">
        <v>70000</v>
      </c>
      <c r="V548">
        <v>6370000</v>
      </c>
    </row>
    <row r="549" spans="1:22" x14ac:dyDescent="0.25">
      <c r="A549" t="s">
        <v>81</v>
      </c>
      <c r="B549" t="s">
        <v>82</v>
      </c>
      <c r="C549" t="str">
        <f t="shared" si="16"/>
        <v>2025</v>
      </c>
      <c r="D549" t="str">
        <f t="shared" si="17"/>
        <v>04</v>
      </c>
      <c r="E549" t="s">
        <v>80</v>
      </c>
      <c r="F549" t="s">
        <v>123</v>
      </c>
      <c r="G549" t="s">
        <v>124</v>
      </c>
      <c r="H549" t="s">
        <v>118</v>
      </c>
      <c r="I549" t="s">
        <v>26</v>
      </c>
      <c r="J549">
        <v>432</v>
      </c>
      <c r="K549">
        <v>4925.79</v>
      </c>
      <c r="L549">
        <v>767.14</v>
      </c>
      <c r="M549">
        <v>0.15570000000000001</v>
      </c>
      <c r="N549">
        <v>464.82</v>
      </c>
      <c r="O549">
        <v>9.4399999999999998E-2</v>
      </c>
      <c r="P549">
        <v>4.67</v>
      </c>
      <c r="Q549">
        <v>0.20600000000000002</v>
      </c>
      <c r="R549">
        <v>53.43</v>
      </c>
      <c r="S549">
        <v>101.77</v>
      </c>
      <c r="T549">
        <v>120.43</v>
      </c>
      <c r="U549">
        <v>70000</v>
      </c>
      <c r="V549">
        <v>6370000</v>
      </c>
    </row>
    <row r="550" spans="1:22" x14ac:dyDescent="0.25">
      <c r="A550" t="s">
        <v>83</v>
      </c>
      <c r="B550" t="s">
        <v>84</v>
      </c>
      <c r="C550" t="str">
        <f t="shared" si="16"/>
        <v>2025</v>
      </c>
      <c r="D550" t="str">
        <f t="shared" si="17"/>
        <v>07</v>
      </c>
      <c r="E550" t="s">
        <v>80</v>
      </c>
      <c r="F550" t="s">
        <v>123</v>
      </c>
      <c r="G550" t="s">
        <v>124</v>
      </c>
      <c r="H550" t="s">
        <v>118</v>
      </c>
      <c r="I550" t="s">
        <v>26</v>
      </c>
      <c r="J550">
        <v>432</v>
      </c>
      <c r="K550">
        <v>4759.5600000000004</v>
      </c>
      <c r="L550">
        <v>714.84</v>
      </c>
      <c r="M550">
        <v>0.1502</v>
      </c>
      <c r="N550">
        <v>582.38</v>
      </c>
      <c r="O550">
        <v>0.12240000000000001</v>
      </c>
      <c r="P550">
        <v>4.53</v>
      </c>
      <c r="Q550">
        <v>0.24399999999999999</v>
      </c>
      <c r="R550">
        <v>43.06</v>
      </c>
      <c r="S550">
        <v>93.24</v>
      </c>
      <c r="T550">
        <v>112.22</v>
      </c>
      <c r="U550">
        <v>70000</v>
      </c>
      <c r="V550">
        <v>6370000</v>
      </c>
    </row>
    <row r="551" spans="1:22" x14ac:dyDescent="0.25">
      <c r="A551" t="s">
        <v>85</v>
      </c>
      <c r="B551" t="s">
        <v>86</v>
      </c>
      <c r="C551" t="str">
        <f t="shared" si="16"/>
        <v>2025</v>
      </c>
      <c r="D551" t="str">
        <f t="shared" si="17"/>
        <v>10</v>
      </c>
      <c r="E551" t="s">
        <v>80</v>
      </c>
      <c r="F551" t="s">
        <v>123</v>
      </c>
      <c r="G551" t="s">
        <v>124</v>
      </c>
      <c r="H551" t="s">
        <v>118</v>
      </c>
      <c r="I551" t="s">
        <v>26</v>
      </c>
      <c r="J551">
        <v>432</v>
      </c>
      <c r="K551">
        <v>4967.3599999999997</v>
      </c>
      <c r="L551">
        <v>711.34</v>
      </c>
      <c r="M551">
        <v>0.14319999999999999</v>
      </c>
      <c r="N551">
        <v>537.66999999999996</v>
      </c>
      <c r="O551">
        <v>0.1082</v>
      </c>
      <c r="P551">
        <v>4.3499999999999996</v>
      </c>
      <c r="Q551">
        <v>0.63</v>
      </c>
      <c r="R551">
        <v>107.9</v>
      </c>
      <c r="S551">
        <v>99.34</v>
      </c>
      <c r="T551">
        <v>111.67</v>
      </c>
      <c r="U551">
        <v>70000</v>
      </c>
      <c r="V551">
        <v>6370000</v>
      </c>
    </row>
    <row r="552" spans="1:22" x14ac:dyDescent="0.25">
      <c r="A552" t="s">
        <v>87</v>
      </c>
      <c r="B552" t="s">
        <v>88</v>
      </c>
      <c r="C552" t="str">
        <f t="shared" si="16"/>
        <v>2026</v>
      </c>
      <c r="D552" t="str">
        <f t="shared" si="17"/>
        <v>01</v>
      </c>
      <c r="E552" t="s">
        <v>89</v>
      </c>
      <c r="F552" t="s">
        <v>123</v>
      </c>
      <c r="G552" t="s">
        <v>124</v>
      </c>
      <c r="H552" t="s">
        <v>118</v>
      </c>
      <c r="I552" t="s">
        <v>26</v>
      </c>
      <c r="J552">
        <v>432</v>
      </c>
      <c r="K552">
        <v>3319.04</v>
      </c>
      <c r="L552">
        <v>935.12</v>
      </c>
      <c r="M552">
        <v>0.28170000000000001</v>
      </c>
      <c r="N552">
        <v>-575.75</v>
      </c>
      <c r="O552">
        <v>-0.17350000000000002</v>
      </c>
      <c r="P552">
        <v>2.85</v>
      </c>
      <c r="Q552">
        <v>0.60799999999999998</v>
      </c>
      <c r="R552">
        <v>358.82</v>
      </c>
      <c r="S552">
        <v>130.88</v>
      </c>
      <c r="T552">
        <v>146.80000000000001</v>
      </c>
      <c r="U552">
        <v>70000</v>
      </c>
      <c r="V552">
        <v>6370000</v>
      </c>
    </row>
    <row r="553" spans="1:22" x14ac:dyDescent="0.25">
      <c r="A553" t="s">
        <v>20</v>
      </c>
      <c r="B553" t="s">
        <v>21</v>
      </c>
      <c r="C553" t="str">
        <f t="shared" si="16"/>
        <v>2019</v>
      </c>
      <c r="D553" t="str">
        <f t="shared" si="17"/>
        <v>01</v>
      </c>
      <c r="E553" t="s">
        <v>22</v>
      </c>
      <c r="F553" t="s">
        <v>125</v>
      </c>
      <c r="G553" t="s">
        <v>126</v>
      </c>
      <c r="H553" t="s">
        <v>118</v>
      </c>
      <c r="I553" t="s">
        <v>94</v>
      </c>
      <c r="J553">
        <v>562</v>
      </c>
      <c r="K553">
        <v>3081.37</v>
      </c>
      <c r="L553">
        <v>373.27</v>
      </c>
      <c r="M553">
        <v>0.1211</v>
      </c>
      <c r="N553">
        <v>316.77</v>
      </c>
      <c r="O553">
        <v>0.10279999999999999</v>
      </c>
      <c r="P553">
        <v>5.48</v>
      </c>
      <c r="Q553">
        <v>0.114</v>
      </c>
      <c r="R553">
        <v>0</v>
      </c>
      <c r="S553">
        <v>63</v>
      </c>
      <c r="T553">
        <v>74.58</v>
      </c>
      <c r="U553">
        <v>55000</v>
      </c>
      <c r="V553">
        <v>5005000</v>
      </c>
    </row>
    <row r="554" spans="1:22" x14ac:dyDescent="0.25">
      <c r="A554" t="s">
        <v>27</v>
      </c>
      <c r="B554" t="s">
        <v>28</v>
      </c>
      <c r="C554" t="str">
        <f t="shared" si="16"/>
        <v>2019</v>
      </c>
      <c r="D554" t="str">
        <f t="shared" si="17"/>
        <v>04</v>
      </c>
      <c r="E554" t="s">
        <v>22</v>
      </c>
      <c r="F554" t="s">
        <v>125</v>
      </c>
      <c r="G554" t="s">
        <v>126</v>
      </c>
      <c r="H554" t="s">
        <v>118</v>
      </c>
      <c r="I554" t="s">
        <v>94</v>
      </c>
      <c r="J554">
        <v>562</v>
      </c>
      <c r="K554">
        <v>3102.38</v>
      </c>
      <c r="L554">
        <v>367.07</v>
      </c>
      <c r="M554">
        <v>0.1183</v>
      </c>
      <c r="N554">
        <v>138.93</v>
      </c>
      <c r="O554">
        <v>4.4800000000000006E-2</v>
      </c>
      <c r="P554">
        <v>4.92</v>
      </c>
      <c r="Q554">
        <v>0.33299999999999996</v>
      </c>
      <c r="R554">
        <v>0</v>
      </c>
      <c r="S554">
        <v>64.790000000000006</v>
      </c>
      <c r="T554">
        <v>73.34</v>
      </c>
      <c r="U554">
        <v>55000</v>
      </c>
      <c r="V554">
        <v>5005000</v>
      </c>
    </row>
    <row r="555" spans="1:22" x14ac:dyDescent="0.25">
      <c r="A555" t="s">
        <v>29</v>
      </c>
      <c r="B555" t="s">
        <v>30</v>
      </c>
      <c r="C555" t="str">
        <f t="shared" si="16"/>
        <v>2019</v>
      </c>
      <c r="D555" t="str">
        <f t="shared" si="17"/>
        <v>07</v>
      </c>
      <c r="E555" t="s">
        <v>22</v>
      </c>
      <c r="F555" t="s">
        <v>125</v>
      </c>
      <c r="G555" t="s">
        <v>126</v>
      </c>
      <c r="H555" t="s">
        <v>118</v>
      </c>
      <c r="I555" t="s">
        <v>94</v>
      </c>
      <c r="J555">
        <v>562</v>
      </c>
      <c r="K555">
        <v>3432.69</v>
      </c>
      <c r="L555">
        <v>355.91</v>
      </c>
      <c r="M555">
        <v>0.10369999999999999</v>
      </c>
      <c r="N555">
        <v>446.74</v>
      </c>
      <c r="O555">
        <v>0.13009999999999999</v>
      </c>
      <c r="P555">
        <v>5.69</v>
      </c>
      <c r="Q555">
        <v>0.30399999999999999</v>
      </c>
      <c r="R555">
        <v>0</v>
      </c>
      <c r="S555">
        <v>60.46</v>
      </c>
      <c r="T555">
        <v>71.11</v>
      </c>
      <c r="U555">
        <v>55000</v>
      </c>
      <c r="V555">
        <v>5005000</v>
      </c>
    </row>
    <row r="556" spans="1:22" x14ac:dyDescent="0.25">
      <c r="A556" t="s">
        <v>31</v>
      </c>
      <c r="B556" t="s">
        <v>32</v>
      </c>
      <c r="C556" t="str">
        <f t="shared" si="16"/>
        <v>2019</v>
      </c>
      <c r="D556" t="str">
        <f t="shared" si="17"/>
        <v>10</v>
      </c>
      <c r="E556" t="s">
        <v>22</v>
      </c>
      <c r="F556" t="s">
        <v>125</v>
      </c>
      <c r="G556" t="s">
        <v>126</v>
      </c>
      <c r="H556" t="s">
        <v>118</v>
      </c>
      <c r="I556" t="s">
        <v>94</v>
      </c>
      <c r="J556">
        <v>562</v>
      </c>
      <c r="K556">
        <v>3384.05</v>
      </c>
      <c r="L556">
        <v>385.23</v>
      </c>
      <c r="M556">
        <v>0.11380000000000001</v>
      </c>
      <c r="N556">
        <v>410.31</v>
      </c>
      <c r="O556">
        <v>0.12119999999999999</v>
      </c>
      <c r="P556">
        <v>5.26</v>
      </c>
      <c r="Q556">
        <v>0.125</v>
      </c>
      <c r="R556">
        <v>0</v>
      </c>
      <c r="S556">
        <v>65.66</v>
      </c>
      <c r="T556">
        <v>76.97</v>
      </c>
      <c r="U556">
        <v>55000</v>
      </c>
      <c r="V556">
        <v>5005000</v>
      </c>
    </row>
    <row r="557" spans="1:22" x14ac:dyDescent="0.25">
      <c r="A557" t="s">
        <v>33</v>
      </c>
      <c r="B557" t="s">
        <v>34</v>
      </c>
      <c r="C557" t="str">
        <f t="shared" si="16"/>
        <v>2020</v>
      </c>
      <c r="D557" t="str">
        <f t="shared" si="17"/>
        <v>01</v>
      </c>
      <c r="E557" t="s">
        <v>22</v>
      </c>
      <c r="F557" t="s">
        <v>125</v>
      </c>
      <c r="G557" t="s">
        <v>126</v>
      </c>
      <c r="H557" t="s">
        <v>118</v>
      </c>
      <c r="I557" t="s">
        <v>94</v>
      </c>
      <c r="J557">
        <v>562</v>
      </c>
      <c r="K557">
        <v>3430.6</v>
      </c>
      <c r="L557">
        <v>377.28</v>
      </c>
      <c r="M557">
        <v>0.11</v>
      </c>
      <c r="N557">
        <v>391.06</v>
      </c>
      <c r="O557">
        <v>0.114</v>
      </c>
      <c r="P557">
        <v>6.24</v>
      </c>
      <c r="Q557">
        <v>0.23</v>
      </c>
      <c r="R557">
        <v>0</v>
      </c>
      <c r="S557">
        <v>66.66</v>
      </c>
      <c r="T557">
        <v>75.38</v>
      </c>
      <c r="U557">
        <v>55000</v>
      </c>
      <c r="V557">
        <v>5005000</v>
      </c>
    </row>
    <row r="558" spans="1:22" x14ac:dyDescent="0.25">
      <c r="A558" t="s">
        <v>35</v>
      </c>
      <c r="B558" t="s">
        <v>36</v>
      </c>
      <c r="C558" t="str">
        <f t="shared" si="16"/>
        <v>2020</v>
      </c>
      <c r="D558" t="str">
        <f t="shared" si="17"/>
        <v>04</v>
      </c>
      <c r="E558" t="s">
        <v>37</v>
      </c>
      <c r="F558" t="s">
        <v>125</v>
      </c>
      <c r="G558" t="s">
        <v>126</v>
      </c>
      <c r="H558" t="s">
        <v>118</v>
      </c>
      <c r="I558" t="s">
        <v>94</v>
      </c>
      <c r="J558">
        <v>562</v>
      </c>
      <c r="K558">
        <v>731.56</v>
      </c>
      <c r="L558">
        <v>118.57</v>
      </c>
      <c r="M558">
        <v>0.16210000000000002</v>
      </c>
      <c r="N558">
        <v>-210.1</v>
      </c>
      <c r="O558">
        <v>-0.28720000000000001</v>
      </c>
      <c r="P558">
        <v>1.24</v>
      </c>
      <c r="Q558">
        <v>0.18100000000000002</v>
      </c>
      <c r="R558">
        <v>0</v>
      </c>
      <c r="S558">
        <v>20.57</v>
      </c>
      <c r="T558">
        <v>23.69</v>
      </c>
      <c r="U558">
        <v>55000</v>
      </c>
      <c r="V558">
        <v>5005000</v>
      </c>
    </row>
    <row r="559" spans="1:22" x14ac:dyDescent="0.25">
      <c r="A559" t="s">
        <v>38</v>
      </c>
      <c r="B559" t="s">
        <v>39</v>
      </c>
      <c r="C559" t="str">
        <f t="shared" si="16"/>
        <v>2020</v>
      </c>
      <c r="D559" t="str">
        <f t="shared" si="17"/>
        <v>07</v>
      </c>
      <c r="E559" t="s">
        <v>37</v>
      </c>
      <c r="F559" t="s">
        <v>125</v>
      </c>
      <c r="G559" t="s">
        <v>126</v>
      </c>
      <c r="H559" t="s">
        <v>118</v>
      </c>
      <c r="I559" t="s">
        <v>94</v>
      </c>
      <c r="J559">
        <v>562</v>
      </c>
      <c r="K559">
        <v>702.64</v>
      </c>
      <c r="L559">
        <v>252.4</v>
      </c>
      <c r="M559">
        <v>0.35920000000000002</v>
      </c>
      <c r="N559">
        <v>-288.45</v>
      </c>
      <c r="O559">
        <v>-0.41049999999999998</v>
      </c>
      <c r="P559">
        <v>1.2</v>
      </c>
      <c r="Q559">
        <v>0.23199999999999998</v>
      </c>
      <c r="R559">
        <v>0</v>
      </c>
      <c r="S559">
        <v>44.05</v>
      </c>
      <c r="T559">
        <v>50.43</v>
      </c>
      <c r="U559">
        <v>55000</v>
      </c>
      <c r="V559">
        <v>5005000</v>
      </c>
    </row>
    <row r="560" spans="1:22" x14ac:dyDescent="0.25">
      <c r="A560" t="s">
        <v>40</v>
      </c>
      <c r="B560" t="s">
        <v>41</v>
      </c>
      <c r="C560" t="str">
        <f t="shared" si="16"/>
        <v>2020</v>
      </c>
      <c r="D560" t="str">
        <f t="shared" si="17"/>
        <v>10</v>
      </c>
      <c r="E560" t="s">
        <v>37</v>
      </c>
      <c r="F560" t="s">
        <v>125</v>
      </c>
      <c r="G560" t="s">
        <v>126</v>
      </c>
      <c r="H560" t="s">
        <v>118</v>
      </c>
      <c r="I560" t="s">
        <v>94</v>
      </c>
      <c r="J560">
        <v>562</v>
      </c>
      <c r="K560">
        <v>858.09</v>
      </c>
      <c r="L560">
        <v>228.53</v>
      </c>
      <c r="M560">
        <v>0.26629999999999998</v>
      </c>
      <c r="N560">
        <v>-361.21</v>
      </c>
      <c r="O560">
        <v>-0.42090000000000005</v>
      </c>
      <c r="P560">
        <v>1.58</v>
      </c>
      <c r="Q560">
        <v>0.31</v>
      </c>
      <c r="R560">
        <v>0</v>
      </c>
      <c r="S560">
        <v>39.950000000000003</v>
      </c>
      <c r="T560">
        <v>45.66</v>
      </c>
      <c r="U560">
        <v>55000</v>
      </c>
      <c r="V560">
        <v>5005000</v>
      </c>
    </row>
    <row r="561" spans="1:22" x14ac:dyDescent="0.25">
      <c r="A561" t="s">
        <v>42</v>
      </c>
      <c r="B561" t="s">
        <v>43</v>
      </c>
      <c r="C561" t="str">
        <f t="shared" si="16"/>
        <v>2021</v>
      </c>
      <c r="D561" t="str">
        <f t="shared" si="17"/>
        <v>01</v>
      </c>
      <c r="E561" t="s">
        <v>37</v>
      </c>
      <c r="F561" t="s">
        <v>125</v>
      </c>
      <c r="G561" t="s">
        <v>126</v>
      </c>
      <c r="H561" t="s">
        <v>118</v>
      </c>
      <c r="I561" t="s">
        <v>94</v>
      </c>
      <c r="J561">
        <v>562</v>
      </c>
      <c r="K561">
        <v>563.82000000000005</v>
      </c>
      <c r="L561">
        <v>429.28</v>
      </c>
      <c r="M561">
        <v>0.76139999999999997</v>
      </c>
      <c r="N561">
        <v>-242.53</v>
      </c>
      <c r="O561">
        <v>-0.43020000000000003</v>
      </c>
      <c r="P561">
        <v>0.99</v>
      </c>
      <c r="Q561">
        <v>0.17</v>
      </c>
      <c r="R561">
        <v>0</v>
      </c>
      <c r="S561">
        <v>75.489999999999995</v>
      </c>
      <c r="T561">
        <v>85.77</v>
      </c>
      <c r="U561">
        <v>55000</v>
      </c>
      <c r="V561">
        <v>5005000</v>
      </c>
    </row>
    <row r="562" spans="1:22" x14ac:dyDescent="0.25">
      <c r="A562" t="s">
        <v>44</v>
      </c>
      <c r="B562" t="s">
        <v>45</v>
      </c>
      <c r="C562" t="str">
        <f t="shared" si="16"/>
        <v>2021</v>
      </c>
      <c r="D562" t="str">
        <f t="shared" si="17"/>
        <v>04</v>
      </c>
      <c r="E562" t="s">
        <v>37</v>
      </c>
      <c r="F562" t="s">
        <v>125</v>
      </c>
      <c r="G562" t="s">
        <v>126</v>
      </c>
      <c r="H562" t="s">
        <v>118</v>
      </c>
      <c r="I562" t="s">
        <v>94</v>
      </c>
      <c r="J562">
        <v>562</v>
      </c>
      <c r="K562">
        <v>684.19</v>
      </c>
      <c r="L562">
        <v>455.05</v>
      </c>
      <c r="M562">
        <v>0.66510000000000002</v>
      </c>
      <c r="N562">
        <v>-164.21</v>
      </c>
      <c r="O562">
        <v>-0.24</v>
      </c>
      <c r="P562">
        <v>1.1299999999999999</v>
      </c>
      <c r="Q562">
        <v>0.27100000000000002</v>
      </c>
      <c r="R562">
        <v>1.26</v>
      </c>
      <c r="S562">
        <v>76.83</v>
      </c>
      <c r="T562">
        <v>90.92</v>
      </c>
      <c r="U562">
        <v>55000</v>
      </c>
      <c r="V562">
        <v>5005000</v>
      </c>
    </row>
    <row r="563" spans="1:22" x14ac:dyDescent="0.25">
      <c r="A563" t="s">
        <v>46</v>
      </c>
      <c r="B563" t="s">
        <v>47</v>
      </c>
      <c r="C563" t="str">
        <f t="shared" si="16"/>
        <v>2021</v>
      </c>
      <c r="D563" t="str">
        <f t="shared" si="17"/>
        <v>07</v>
      </c>
      <c r="E563" t="s">
        <v>48</v>
      </c>
      <c r="F563" t="s">
        <v>125</v>
      </c>
      <c r="G563" t="s">
        <v>126</v>
      </c>
      <c r="H563" t="s">
        <v>118</v>
      </c>
      <c r="I563" t="s">
        <v>94</v>
      </c>
      <c r="J563">
        <v>562</v>
      </c>
      <c r="K563">
        <v>2423.73</v>
      </c>
      <c r="L563">
        <v>450.05</v>
      </c>
      <c r="M563">
        <v>0.1857</v>
      </c>
      <c r="N563">
        <v>-38.33</v>
      </c>
      <c r="O563">
        <v>-1.5800000000000002E-2</v>
      </c>
      <c r="P563">
        <v>3.99</v>
      </c>
      <c r="Q563">
        <v>0.38</v>
      </c>
      <c r="R563">
        <v>0</v>
      </c>
      <c r="S563">
        <v>78.97</v>
      </c>
      <c r="T563">
        <v>89.92</v>
      </c>
      <c r="U563">
        <v>55000</v>
      </c>
      <c r="V563">
        <v>5005000</v>
      </c>
    </row>
    <row r="564" spans="1:22" x14ac:dyDescent="0.25">
      <c r="A564" t="s">
        <v>49</v>
      </c>
      <c r="B564" t="s">
        <v>50</v>
      </c>
      <c r="C564" t="str">
        <f t="shared" si="16"/>
        <v>2021</v>
      </c>
      <c r="D564" t="str">
        <f t="shared" si="17"/>
        <v>10</v>
      </c>
      <c r="E564" t="s">
        <v>48</v>
      </c>
      <c r="F564" t="s">
        <v>125</v>
      </c>
      <c r="G564" t="s">
        <v>126</v>
      </c>
      <c r="H564" t="s">
        <v>118</v>
      </c>
      <c r="I564" t="s">
        <v>94</v>
      </c>
      <c r="J564">
        <v>562</v>
      </c>
      <c r="K564">
        <v>2292.08</v>
      </c>
      <c r="L564">
        <v>521.77</v>
      </c>
      <c r="M564">
        <v>0.22760000000000002</v>
      </c>
      <c r="N564">
        <v>119.01</v>
      </c>
      <c r="O564">
        <v>5.1900000000000002E-2</v>
      </c>
      <c r="P564">
        <v>4.1900000000000004</v>
      </c>
      <c r="Q564">
        <v>7.4999999999999997E-2</v>
      </c>
      <c r="R564">
        <v>6.2</v>
      </c>
      <c r="S564">
        <v>86.82</v>
      </c>
      <c r="T564">
        <v>104.25</v>
      </c>
      <c r="U564">
        <v>55000</v>
      </c>
      <c r="V564">
        <v>5005000</v>
      </c>
    </row>
    <row r="565" spans="1:22" x14ac:dyDescent="0.25">
      <c r="A565" t="s">
        <v>51</v>
      </c>
      <c r="B565" t="s">
        <v>52</v>
      </c>
      <c r="C565" t="str">
        <f t="shared" si="16"/>
        <v>2022</v>
      </c>
      <c r="D565" t="str">
        <f t="shared" si="17"/>
        <v>01</v>
      </c>
      <c r="E565" t="s">
        <v>48</v>
      </c>
      <c r="F565" t="s">
        <v>125</v>
      </c>
      <c r="G565" t="s">
        <v>126</v>
      </c>
      <c r="H565" t="s">
        <v>118</v>
      </c>
      <c r="I565" t="s">
        <v>94</v>
      </c>
      <c r="J565">
        <v>562</v>
      </c>
      <c r="K565">
        <v>2504.39</v>
      </c>
      <c r="L565">
        <v>407.61</v>
      </c>
      <c r="M565">
        <v>0.1628</v>
      </c>
      <c r="N565">
        <v>118.72</v>
      </c>
      <c r="O565">
        <v>4.7400000000000005E-2</v>
      </c>
      <c r="P565">
        <v>4.21</v>
      </c>
      <c r="Q565">
        <v>0.249</v>
      </c>
      <c r="R565">
        <v>0</v>
      </c>
      <c r="S565">
        <v>72.010000000000005</v>
      </c>
      <c r="T565">
        <v>81.44</v>
      </c>
      <c r="U565">
        <v>55000</v>
      </c>
      <c r="V565">
        <v>5005000</v>
      </c>
    </row>
    <row r="566" spans="1:22" x14ac:dyDescent="0.25">
      <c r="A566" t="s">
        <v>53</v>
      </c>
      <c r="B566" t="s">
        <v>54</v>
      </c>
      <c r="C566" t="str">
        <f t="shared" si="16"/>
        <v>2022</v>
      </c>
      <c r="D566" t="str">
        <f t="shared" si="17"/>
        <v>04</v>
      </c>
      <c r="E566" t="s">
        <v>55</v>
      </c>
      <c r="F566" t="s">
        <v>125</v>
      </c>
      <c r="G566" t="s">
        <v>126</v>
      </c>
      <c r="H566" t="s">
        <v>118</v>
      </c>
      <c r="I566" t="s">
        <v>94</v>
      </c>
      <c r="J566">
        <v>562</v>
      </c>
      <c r="K566">
        <v>2983.56</v>
      </c>
      <c r="L566">
        <v>658.81</v>
      </c>
      <c r="M566">
        <v>0.2208</v>
      </c>
      <c r="N566">
        <v>135.69</v>
      </c>
      <c r="O566">
        <v>4.5499999999999999E-2</v>
      </c>
      <c r="P566">
        <v>5.29</v>
      </c>
      <c r="Q566">
        <v>0.26100000000000001</v>
      </c>
      <c r="R566">
        <v>79.540000000000006</v>
      </c>
      <c r="S566">
        <v>109.53</v>
      </c>
      <c r="T566">
        <v>131.63</v>
      </c>
      <c r="U566">
        <v>55000</v>
      </c>
      <c r="V566">
        <v>5005000</v>
      </c>
    </row>
    <row r="567" spans="1:22" x14ac:dyDescent="0.25">
      <c r="A567" t="s">
        <v>56</v>
      </c>
      <c r="B567" t="s">
        <v>57</v>
      </c>
      <c r="C567" t="str">
        <f t="shared" si="16"/>
        <v>2022</v>
      </c>
      <c r="D567" t="str">
        <f t="shared" si="17"/>
        <v>07</v>
      </c>
      <c r="E567" t="s">
        <v>55</v>
      </c>
      <c r="F567" t="s">
        <v>125</v>
      </c>
      <c r="G567" t="s">
        <v>126</v>
      </c>
      <c r="H567" t="s">
        <v>118</v>
      </c>
      <c r="I567" t="s">
        <v>94</v>
      </c>
      <c r="J567">
        <v>562</v>
      </c>
      <c r="K567">
        <v>2967.29</v>
      </c>
      <c r="L567">
        <v>472.92</v>
      </c>
      <c r="M567">
        <v>0.15939999999999999</v>
      </c>
      <c r="N567">
        <v>293.89</v>
      </c>
      <c r="O567">
        <v>9.9000000000000005E-2</v>
      </c>
      <c r="P567">
        <v>5.5</v>
      </c>
      <c r="Q567">
        <v>0.128</v>
      </c>
      <c r="R567">
        <v>3.02</v>
      </c>
      <c r="S567">
        <v>80.69</v>
      </c>
      <c r="T567">
        <v>94.49</v>
      </c>
      <c r="U567">
        <v>55000</v>
      </c>
      <c r="V567">
        <v>5005000</v>
      </c>
    </row>
    <row r="568" spans="1:22" x14ac:dyDescent="0.25">
      <c r="A568" t="s">
        <v>58</v>
      </c>
      <c r="B568" t="s">
        <v>59</v>
      </c>
      <c r="C568" t="str">
        <f t="shared" si="16"/>
        <v>2022</v>
      </c>
      <c r="D568" t="str">
        <f t="shared" si="17"/>
        <v>10</v>
      </c>
      <c r="E568" t="s">
        <v>55</v>
      </c>
      <c r="F568" t="s">
        <v>125</v>
      </c>
      <c r="G568" t="s">
        <v>126</v>
      </c>
      <c r="H568" t="s">
        <v>118</v>
      </c>
      <c r="I568" t="s">
        <v>94</v>
      </c>
      <c r="J568">
        <v>562</v>
      </c>
      <c r="K568">
        <v>3440.08</v>
      </c>
      <c r="L568">
        <v>528.33000000000004</v>
      </c>
      <c r="M568">
        <v>0.15359999999999999</v>
      </c>
      <c r="N568">
        <v>142.33000000000001</v>
      </c>
      <c r="O568">
        <v>4.1399999999999999E-2</v>
      </c>
      <c r="P568">
        <v>5.94</v>
      </c>
      <c r="Q568">
        <v>0.32400000000000001</v>
      </c>
      <c r="R568">
        <v>29.59</v>
      </c>
      <c r="S568">
        <v>93.25</v>
      </c>
      <c r="T568">
        <v>105.56</v>
      </c>
      <c r="U568">
        <v>55000</v>
      </c>
      <c r="V568">
        <v>5005000</v>
      </c>
    </row>
    <row r="569" spans="1:22" x14ac:dyDescent="0.25">
      <c r="A569" t="s">
        <v>60</v>
      </c>
      <c r="B569" t="s">
        <v>61</v>
      </c>
      <c r="C569" t="str">
        <f t="shared" si="16"/>
        <v>2023</v>
      </c>
      <c r="D569" t="str">
        <f t="shared" si="17"/>
        <v>01</v>
      </c>
      <c r="E569" t="s">
        <v>62</v>
      </c>
      <c r="F569" t="s">
        <v>125</v>
      </c>
      <c r="G569" t="s">
        <v>126</v>
      </c>
      <c r="H569" t="s">
        <v>118</v>
      </c>
      <c r="I569" t="s">
        <v>94</v>
      </c>
      <c r="J569">
        <v>562</v>
      </c>
      <c r="K569">
        <v>3183.14</v>
      </c>
      <c r="L569">
        <v>486.14</v>
      </c>
      <c r="M569">
        <v>0.1527</v>
      </c>
      <c r="N569">
        <v>304.04000000000002</v>
      </c>
      <c r="O569">
        <v>9.5500000000000002E-2</v>
      </c>
      <c r="P569">
        <v>5.37</v>
      </c>
      <c r="Q569">
        <v>0.316</v>
      </c>
      <c r="R569">
        <v>12.17</v>
      </c>
      <c r="S569">
        <v>84.29</v>
      </c>
      <c r="T569">
        <v>97.13</v>
      </c>
      <c r="U569">
        <v>55000</v>
      </c>
      <c r="V569">
        <v>5005000</v>
      </c>
    </row>
    <row r="570" spans="1:22" x14ac:dyDescent="0.25">
      <c r="A570" t="s">
        <v>63</v>
      </c>
      <c r="B570" t="s">
        <v>64</v>
      </c>
      <c r="C570" t="str">
        <f t="shared" si="16"/>
        <v>2023</v>
      </c>
      <c r="D570" t="str">
        <f t="shared" si="17"/>
        <v>04</v>
      </c>
      <c r="E570" t="s">
        <v>62</v>
      </c>
      <c r="F570" t="s">
        <v>125</v>
      </c>
      <c r="G570" t="s">
        <v>126</v>
      </c>
      <c r="H570" t="s">
        <v>118</v>
      </c>
      <c r="I570" t="s">
        <v>94</v>
      </c>
      <c r="J570">
        <v>562</v>
      </c>
      <c r="K570">
        <v>3239.13</v>
      </c>
      <c r="L570">
        <v>510.36</v>
      </c>
      <c r="M570">
        <v>0.15759999999999999</v>
      </c>
      <c r="N570">
        <v>313.2</v>
      </c>
      <c r="O570">
        <v>9.6699999999999994E-2</v>
      </c>
      <c r="P570">
        <v>5.9</v>
      </c>
      <c r="Q570">
        <v>0.29499999999999998</v>
      </c>
      <c r="R570">
        <v>20.02</v>
      </c>
      <c r="S570">
        <v>88.18</v>
      </c>
      <c r="T570">
        <v>101.97</v>
      </c>
      <c r="U570">
        <v>55000</v>
      </c>
      <c r="V570">
        <v>5005000</v>
      </c>
    </row>
    <row r="571" spans="1:22" x14ac:dyDescent="0.25">
      <c r="A571" t="s">
        <v>65</v>
      </c>
      <c r="B571" t="s">
        <v>66</v>
      </c>
      <c r="C571" t="str">
        <f t="shared" si="16"/>
        <v>2023</v>
      </c>
      <c r="D571" t="str">
        <f t="shared" si="17"/>
        <v>07</v>
      </c>
      <c r="E571" t="s">
        <v>62</v>
      </c>
      <c r="F571" t="s">
        <v>125</v>
      </c>
      <c r="G571" t="s">
        <v>126</v>
      </c>
      <c r="H571" t="s">
        <v>118</v>
      </c>
      <c r="I571" t="s">
        <v>94</v>
      </c>
      <c r="J571">
        <v>562</v>
      </c>
      <c r="K571">
        <v>3259.44</v>
      </c>
      <c r="L571">
        <v>488.09</v>
      </c>
      <c r="M571">
        <v>0.1497</v>
      </c>
      <c r="N571">
        <v>280.73</v>
      </c>
      <c r="O571">
        <v>8.6099999999999996E-2</v>
      </c>
      <c r="P571">
        <v>5.14</v>
      </c>
      <c r="Q571">
        <v>7.0000000000000007E-2</v>
      </c>
      <c r="R571">
        <v>2.85</v>
      </c>
      <c r="S571">
        <v>85.16</v>
      </c>
      <c r="T571">
        <v>97.52</v>
      </c>
      <c r="U571">
        <v>55000</v>
      </c>
      <c r="V571">
        <v>5005000</v>
      </c>
    </row>
    <row r="572" spans="1:22" x14ac:dyDescent="0.25">
      <c r="A572" t="s">
        <v>67</v>
      </c>
      <c r="B572" t="s">
        <v>68</v>
      </c>
      <c r="C572" t="str">
        <f t="shared" si="16"/>
        <v>2023</v>
      </c>
      <c r="D572" t="str">
        <f t="shared" si="17"/>
        <v>10</v>
      </c>
      <c r="E572" t="s">
        <v>69</v>
      </c>
      <c r="F572" t="s">
        <v>125</v>
      </c>
      <c r="G572" t="s">
        <v>126</v>
      </c>
      <c r="H572" t="s">
        <v>118</v>
      </c>
      <c r="I572" t="s">
        <v>94</v>
      </c>
      <c r="J572">
        <v>562</v>
      </c>
      <c r="K572">
        <v>3436.35</v>
      </c>
      <c r="L572">
        <v>450.25</v>
      </c>
      <c r="M572">
        <v>0.13100000000000001</v>
      </c>
      <c r="N572">
        <v>201.55</v>
      </c>
      <c r="O572">
        <v>5.8700000000000002E-2</v>
      </c>
      <c r="P572">
        <v>5.59</v>
      </c>
      <c r="Q572">
        <v>0.26400000000000001</v>
      </c>
      <c r="R572">
        <v>0</v>
      </c>
      <c r="S572">
        <v>78.33</v>
      </c>
      <c r="T572">
        <v>89.96</v>
      </c>
      <c r="U572">
        <v>55000</v>
      </c>
      <c r="V572">
        <v>5005000</v>
      </c>
    </row>
    <row r="573" spans="1:22" x14ac:dyDescent="0.25">
      <c r="A573" t="s">
        <v>70</v>
      </c>
      <c r="B573" t="s">
        <v>71</v>
      </c>
      <c r="C573" t="str">
        <f t="shared" si="16"/>
        <v>2024</v>
      </c>
      <c r="D573" t="str">
        <f t="shared" si="17"/>
        <v>01</v>
      </c>
      <c r="E573" t="s">
        <v>69</v>
      </c>
      <c r="F573" t="s">
        <v>125</v>
      </c>
      <c r="G573" t="s">
        <v>126</v>
      </c>
      <c r="H573" t="s">
        <v>118</v>
      </c>
      <c r="I573" t="s">
        <v>94</v>
      </c>
      <c r="J573">
        <v>562</v>
      </c>
      <c r="K573">
        <v>3384.42</v>
      </c>
      <c r="L573">
        <v>495.6</v>
      </c>
      <c r="M573">
        <v>0.1464</v>
      </c>
      <c r="N573">
        <v>417.35</v>
      </c>
      <c r="O573">
        <v>0.12330000000000001</v>
      </c>
      <c r="P573">
        <v>6.15</v>
      </c>
      <c r="Q573">
        <v>0.39200000000000002</v>
      </c>
      <c r="R573">
        <v>19.47</v>
      </c>
      <c r="S573">
        <v>84.61</v>
      </c>
      <c r="T573">
        <v>99.02</v>
      </c>
      <c r="U573">
        <v>55000</v>
      </c>
      <c r="V573">
        <v>5005000</v>
      </c>
    </row>
    <row r="574" spans="1:22" x14ac:dyDescent="0.25">
      <c r="A574" t="s">
        <v>72</v>
      </c>
      <c r="B574" t="s">
        <v>73</v>
      </c>
      <c r="C574" t="str">
        <f t="shared" si="16"/>
        <v>2024</v>
      </c>
      <c r="D574" t="str">
        <f t="shared" si="17"/>
        <v>04</v>
      </c>
      <c r="E574" t="s">
        <v>69</v>
      </c>
      <c r="F574" t="s">
        <v>125</v>
      </c>
      <c r="G574" t="s">
        <v>126</v>
      </c>
      <c r="H574" t="s">
        <v>118</v>
      </c>
      <c r="I574" t="s">
        <v>94</v>
      </c>
      <c r="J574">
        <v>562</v>
      </c>
      <c r="K574">
        <v>3063.17</v>
      </c>
      <c r="L574">
        <v>509.41</v>
      </c>
      <c r="M574">
        <v>0.1663</v>
      </c>
      <c r="N574">
        <v>245.01</v>
      </c>
      <c r="O574">
        <v>0.08</v>
      </c>
      <c r="P574">
        <v>5.65</v>
      </c>
      <c r="Q574">
        <v>0.214</v>
      </c>
      <c r="R574">
        <v>14.27</v>
      </c>
      <c r="S574">
        <v>84.06</v>
      </c>
      <c r="T574">
        <v>101.78</v>
      </c>
      <c r="U574">
        <v>55000</v>
      </c>
      <c r="V574">
        <v>5005000</v>
      </c>
    </row>
    <row r="575" spans="1:22" x14ac:dyDescent="0.25">
      <c r="A575" t="s">
        <v>74</v>
      </c>
      <c r="B575" t="s">
        <v>75</v>
      </c>
      <c r="C575" t="str">
        <f t="shared" si="16"/>
        <v>2024</v>
      </c>
      <c r="D575" t="str">
        <f t="shared" si="17"/>
        <v>07</v>
      </c>
      <c r="E575" t="s">
        <v>69</v>
      </c>
      <c r="F575" t="s">
        <v>125</v>
      </c>
      <c r="G575" t="s">
        <v>126</v>
      </c>
      <c r="H575" t="s">
        <v>118</v>
      </c>
      <c r="I575" t="s">
        <v>94</v>
      </c>
      <c r="J575">
        <v>562</v>
      </c>
      <c r="K575">
        <v>3402.46</v>
      </c>
      <c r="L575">
        <v>470.37</v>
      </c>
      <c r="M575">
        <v>0.13819999999999999</v>
      </c>
      <c r="N575">
        <v>142.11000000000001</v>
      </c>
      <c r="O575">
        <v>4.1799999999999997E-2</v>
      </c>
      <c r="P575">
        <v>5.8</v>
      </c>
      <c r="Q575">
        <v>0.373</v>
      </c>
      <c r="R575">
        <v>7.76</v>
      </c>
      <c r="S575">
        <v>80.400000000000006</v>
      </c>
      <c r="T575">
        <v>93.98</v>
      </c>
      <c r="U575">
        <v>55000</v>
      </c>
      <c r="V575">
        <v>5005000</v>
      </c>
    </row>
    <row r="576" spans="1:22" x14ac:dyDescent="0.25">
      <c r="A576" t="s">
        <v>76</v>
      </c>
      <c r="B576" t="s">
        <v>77</v>
      </c>
      <c r="C576" t="str">
        <f t="shared" si="16"/>
        <v>2024</v>
      </c>
      <c r="D576" t="str">
        <f t="shared" si="17"/>
        <v>10</v>
      </c>
      <c r="E576" t="s">
        <v>69</v>
      </c>
      <c r="F576" t="s">
        <v>125</v>
      </c>
      <c r="G576" t="s">
        <v>126</v>
      </c>
      <c r="H576" t="s">
        <v>118</v>
      </c>
      <c r="I576" t="s">
        <v>94</v>
      </c>
      <c r="J576">
        <v>562</v>
      </c>
      <c r="K576">
        <v>3148.69</v>
      </c>
      <c r="L576">
        <v>563.16</v>
      </c>
      <c r="M576">
        <v>0.1789</v>
      </c>
      <c r="N576">
        <v>418.67</v>
      </c>
      <c r="O576">
        <v>0.13300000000000001</v>
      </c>
      <c r="P576">
        <v>4.84</v>
      </c>
      <c r="Q576">
        <v>7.8E-2</v>
      </c>
      <c r="R576">
        <v>10.99</v>
      </c>
      <c r="S576">
        <v>94.78</v>
      </c>
      <c r="T576">
        <v>112.52</v>
      </c>
      <c r="U576">
        <v>55000</v>
      </c>
      <c r="V576">
        <v>5005000</v>
      </c>
    </row>
    <row r="577" spans="1:22" x14ac:dyDescent="0.25">
      <c r="A577" t="s">
        <v>78</v>
      </c>
      <c r="B577" t="s">
        <v>79</v>
      </c>
      <c r="C577" t="str">
        <f t="shared" si="16"/>
        <v>2025</v>
      </c>
      <c r="D577" t="str">
        <f t="shared" si="17"/>
        <v>01</v>
      </c>
      <c r="E577" t="s">
        <v>80</v>
      </c>
      <c r="F577" t="s">
        <v>125</v>
      </c>
      <c r="G577" t="s">
        <v>126</v>
      </c>
      <c r="H577" t="s">
        <v>118</v>
      </c>
      <c r="I577" t="s">
        <v>94</v>
      </c>
      <c r="J577">
        <v>562</v>
      </c>
      <c r="K577">
        <v>3238.36</v>
      </c>
      <c r="L577">
        <v>508.21</v>
      </c>
      <c r="M577">
        <v>0.15689999999999998</v>
      </c>
      <c r="N577">
        <v>163.98</v>
      </c>
      <c r="O577">
        <v>5.0599999999999999E-2</v>
      </c>
      <c r="P577">
        <v>5.21</v>
      </c>
      <c r="Q577">
        <v>0.154</v>
      </c>
      <c r="R577">
        <v>10.039999999999999</v>
      </c>
      <c r="S577">
        <v>85.13</v>
      </c>
      <c r="T577">
        <v>101.54</v>
      </c>
      <c r="U577">
        <v>55000</v>
      </c>
      <c r="V577">
        <v>5005000</v>
      </c>
    </row>
    <row r="578" spans="1:22" x14ac:dyDescent="0.25">
      <c r="A578" t="s">
        <v>81</v>
      </c>
      <c r="B578" t="s">
        <v>82</v>
      </c>
      <c r="C578" t="str">
        <f t="shared" si="16"/>
        <v>2025</v>
      </c>
      <c r="D578" t="str">
        <f t="shared" si="17"/>
        <v>04</v>
      </c>
      <c r="E578" t="s">
        <v>80</v>
      </c>
      <c r="F578" t="s">
        <v>125</v>
      </c>
      <c r="G578" t="s">
        <v>126</v>
      </c>
      <c r="H578" t="s">
        <v>118</v>
      </c>
      <c r="I578" t="s">
        <v>94</v>
      </c>
      <c r="J578">
        <v>562</v>
      </c>
      <c r="K578">
        <v>3240.3</v>
      </c>
      <c r="L578">
        <v>602.75</v>
      </c>
      <c r="M578">
        <v>0.18600000000000003</v>
      </c>
      <c r="N578">
        <v>256.14999999999998</v>
      </c>
      <c r="O578">
        <v>7.9100000000000004E-2</v>
      </c>
      <c r="P578">
        <v>5.99</v>
      </c>
      <c r="Q578">
        <v>0.36</v>
      </c>
      <c r="R578">
        <v>73.37</v>
      </c>
      <c r="S578">
        <v>101.77</v>
      </c>
      <c r="T578">
        <v>120.43</v>
      </c>
      <c r="U578">
        <v>55000</v>
      </c>
      <c r="V578">
        <v>5005000</v>
      </c>
    </row>
    <row r="579" spans="1:22" x14ac:dyDescent="0.25">
      <c r="A579" t="s">
        <v>83</v>
      </c>
      <c r="B579" t="s">
        <v>84</v>
      </c>
      <c r="C579" t="str">
        <f t="shared" ref="C579:C642" si="18">LEFT(B579,4)</f>
        <v>2025</v>
      </c>
      <c r="D579" t="str">
        <f t="shared" ref="D579:D642" si="19">RIGHT(B579,2)</f>
        <v>07</v>
      </c>
      <c r="E579" t="s">
        <v>80</v>
      </c>
      <c r="F579" t="s">
        <v>125</v>
      </c>
      <c r="G579" t="s">
        <v>126</v>
      </c>
      <c r="H579" t="s">
        <v>118</v>
      </c>
      <c r="I579" t="s">
        <v>94</v>
      </c>
      <c r="J579">
        <v>562</v>
      </c>
      <c r="K579">
        <v>3351.2</v>
      </c>
      <c r="L579">
        <v>561.66</v>
      </c>
      <c r="M579">
        <v>0.16760000000000003</v>
      </c>
      <c r="N579">
        <v>355</v>
      </c>
      <c r="O579">
        <v>0.10589999999999999</v>
      </c>
      <c r="P579">
        <v>5.37</v>
      </c>
      <c r="Q579">
        <v>0.26100000000000001</v>
      </c>
      <c r="R579">
        <v>36.19</v>
      </c>
      <c r="S579">
        <v>93.24</v>
      </c>
      <c r="T579">
        <v>112.22</v>
      </c>
      <c r="U579">
        <v>55000</v>
      </c>
      <c r="V579">
        <v>5005000</v>
      </c>
    </row>
    <row r="580" spans="1:22" x14ac:dyDescent="0.25">
      <c r="A580" t="s">
        <v>85</v>
      </c>
      <c r="B580" t="s">
        <v>86</v>
      </c>
      <c r="C580" t="str">
        <f t="shared" si="18"/>
        <v>2025</v>
      </c>
      <c r="D580" t="str">
        <f t="shared" si="19"/>
        <v>10</v>
      </c>
      <c r="E580" t="s">
        <v>80</v>
      </c>
      <c r="F580" t="s">
        <v>125</v>
      </c>
      <c r="G580" t="s">
        <v>126</v>
      </c>
      <c r="H580" t="s">
        <v>118</v>
      </c>
      <c r="I580" t="s">
        <v>94</v>
      </c>
      <c r="J580">
        <v>562</v>
      </c>
      <c r="K580">
        <v>3101.18</v>
      </c>
      <c r="L580">
        <v>558.91</v>
      </c>
      <c r="M580">
        <v>0.1802</v>
      </c>
      <c r="N580">
        <v>264.44</v>
      </c>
      <c r="O580">
        <v>8.5299999999999987E-2</v>
      </c>
      <c r="P580">
        <v>5.24</v>
      </c>
      <c r="Q580">
        <v>0.29100000000000004</v>
      </c>
      <c r="R580">
        <v>39.159999999999997</v>
      </c>
      <c r="S580">
        <v>99.34</v>
      </c>
      <c r="T580">
        <v>111.67</v>
      </c>
      <c r="U580">
        <v>55000</v>
      </c>
      <c r="V580">
        <v>5005000</v>
      </c>
    </row>
    <row r="581" spans="1:22" x14ac:dyDescent="0.25">
      <c r="A581" t="s">
        <v>87</v>
      </c>
      <c r="B581" t="s">
        <v>88</v>
      </c>
      <c r="C581" t="str">
        <f t="shared" si="18"/>
        <v>2026</v>
      </c>
      <c r="D581" t="str">
        <f t="shared" si="19"/>
        <v>01</v>
      </c>
      <c r="E581" t="s">
        <v>89</v>
      </c>
      <c r="F581" t="s">
        <v>125</v>
      </c>
      <c r="G581" t="s">
        <v>126</v>
      </c>
      <c r="H581" t="s">
        <v>118</v>
      </c>
      <c r="I581" t="s">
        <v>94</v>
      </c>
      <c r="J581">
        <v>562</v>
      </c>
      <c r="K581">
        <v>2774.48</v>
      </c>
      <c r="L581">
        <v>734.73</v>
      </c>
      <c r="M581">
        <v>0.26479999999999998</v>
      </c>
      <c r="N581">
        <v>-515.77</v>
      </c>
      <c r="O581">
        <v>-0.18590000000000001</v>
      </c>
      <c r="P581">
        <v>4.29</v>
      </c>
      <c r="Q581">
        <v>6.6000000000000003E-2</v>
      </c>
      <c r="R581">
        <v>30.6</v>
      </c>
      <c r="S581">
        <v>130.88</v>
      </c>
      <c r="T581">
        <v>146.80000000000001</v>
      </c>
      <c r="U581">
        <v>55000</v>
      </c>
      <c r="V581">
        <v>5005000</v>
      </c>
    </row>
    <row r="582" spans="1:22" x14ac:dyDescent="0.25">
      <c r="A582" t="s">
        <v>20</v>
      </c>
      <c r="B582" t="s">
        <v>21</v>
      </c>
      <c r="C582" t="str">
        <f t="shared" si="18"/>
        <v>2019</v>
      </c>
      <c r="D582" t="str">
        <f t="shared" si="19"/>
        <v>01</v>
      </c>
      <c r="E582" t="s">
        <v>22</v>
      </c>
      <c r="F582" t="s">
        <v>127</v>
      </c>
      <c r="G582" t="s">
        <v>128</v>
      </c>
      <c r="H582" t="s">
        <v>129</v>
      </c>
      <c r="I582" t="s">
        <v>26</v>
      </c>
      <c r="J582">
        <v>958</v>
      </c>
      <c r="K582">
        <v>14041.2</v>
      </c>
      <c r="L582">
        <v>814.41</v>
      </c>
      <c r="M582">
        <v>5.7999999999999996E-2</v>
      </c>
      <c r="N582">
        <v>1244.51</v>
      </c>
      <c r="O582">
        <v>8.8599999999999998E-2</v>
      </c>
      <c r="P582">
        <v>9.39</v>
      </c>
      <c r="Q582">
        <v>2.1000000000000001E-2</v>
      </c>
      <c r="R582">
        <v>0</v>
      </c>
      <c r="S582">
        <v>63</v>
      </c>
      <c r="T582">
        <v>74.58</v>
      </c>
      <c r="U582">
        <v>120000</v>
      </c>
      <c r="V582">
        <v>10920000</v>
      </c>
    </row>
    <row r="583" spans="1:22" x14ac:dyDescent="0.25">
      <c r="A583" t="s">
        <v>27</v>
      </c>
      <c r="B583" t="s">
        <v>28</v>
      </c>
      <c r="C583" t="str">
        <f t="shared" si="18"/>
        <v>2019</v>
      </c>
      <c r="D583" t="str">
        <f t="shared" si="19"/>
        <v>04</v>
      </c>
      <c r="E583" t="s">
        <v>22</v>
      </c>
      <c r="F583" t="s">
        <v>127</v>
      </c>
      <c r="G583" t="s">
        <v>128</v>
      </c>
      <c r="H583" t="s">
        <v>129</v>
      </c>
      <c r="I583" t="s">
        <v>26</v>
      </c>
      <c r="J583">
        <v>958</v>
      </c>
      <c r="K583">
        <v>13447.36</v>
      </c>
      <c r="L583">
        <v>800.87</v>
      </c>
      <c r="M583">
        <v>5.96E-2</v>
      </c>
      <c r="N583">
        <v>722.25</v>
      </c>
      <c r="O583">
        <v>5.3699999999999998E-2</v>
      </c>
      <c r="P583">
        <v>9.31</v>
      </c>
      <c r="Q583">
        <v>0.33500000000000002</v>
      </c>
      <c r="R583">
        <v>0</v>
      </c>
      <c r="S583">
        <v>64.790000000000006</v>
      </c>
      <c r="T583">
        <v>73.34</v>
      </c>
      <c r="U583">
        <v>120000</v>
      </c>
      <c r="V583">
        <v>10920000</v>
      </c>
    </row>
    <row r="584" spans="1:22" x14ac:dyDescent="0.25">
      <c r="A584" t="s">
        <v>29</v>
      </c>
      <c r="B584" t="s">
        <v>30</v>
      </c>
      <c r="C584" t="str">
        <f t="shared" si="18"/>
        <v>2019</v>
      </c>
      <c r="D584" t="str">
        <f t="shared" si="19"/>
        <v>07</v>
      </c>
      <c r="E584" t="s">
        <v>22</v>
      </c>
      <c r="F584" t="s">
        <v>127</v>
      </c>
      <c r="G584" t="s">
        <v>128</v>
      </c>
      <c r="H584" t="s">
        <v>129</v>
      </c>
      <c r="I584" t="s">
        <v>26</v>
      </c>
      <c r="J584">
        <v>958</v>
      </c>
      <c r="K584">
        <v>12933.31</v>
      </c>
      <c r="L584">
        <v>776.52</v>
      </c>
      <c r="M584">
        <v>0.06</v>
      </c>
      <c r="N584">
        <v>774.49</v>
      </c>
      <c r="O584">
        <v>5.9900000000000002E-2</v>
      </c>
      <c r="P584">
        <v>8.23</v>
      </c>
      <c r="Q584">
        <v>0.38100000000000001</v>
      </c>
      <c r="R584">
        <v>0</v>
      </c>
      <c r="S584">
        <v>60.46</v>
      </c>
      <c r="T584">
        <v>71.11</v>
      </c>
      <c r="U584">
        <v>120000</v>
      </c>
      <c r="V584">
        <v>10920000</v>
      </c>
    </row>
    <row r="585" spans="1:22" x14ac:dyDescent="0.25">
      <c r="A585" t="s">
        <v>31</v>
      </c>
      <c r="B585" t="s">
        <v>32</v>
      </c>
      <c r="C585" t="str">
        <f t="shared" si="18"/>
        <v>2019</v>
      </c>
      <c r="D585" t="str">
        <f t="shared" si="19"/>
        <v>10</v>
      </c>
      <c r="E585" t="s">
        <v>22</v>
      </c>
      <c r="F585" t="s">
        <v>127</v>
      </c>
      <c r="G585" t="s">
        <v>128</v>
      </c>
      <c r="H585" t="s">
        <v>129</v>
      </c>
      <c r="I585" t="s">
        <v>26</v>
      </c>
      <c r="J585">
        <v>958</v>
      </c>
      <c r="K585">
        <v>12883.96</v>
      </c>
      <c r="L585">
        <v>840.51</v>
      </c>
      <c r="M585">
        <v>6.5199999999999994E-2</v>
      </c>
      <c r="N585">
        <v>1646.86</v>
      </c>
      <c r="O585">
        <v>0.1278</v>
      </c>
      <c r="P585">
        <v>9.26</v>
      </c>
      <c r="Q585">
        <v>0.36200000000000004</v>
      </c>
      <c r="R585">
        <v>0</v>
      </c>
      <c r="S585">
        <v>65.66</v>
      </c>
      <c r="T585">
        <v>76.97</v>
      </c>
      <c r="U585">
        <v>120000</v>
      </c>
      <c r="V585">
        <v>10920000</v>
      </c>
    </row>
    <row r="586" spans="1:22" x14ac:dyDescent="0.25">
      <c r="A586" t="s">
        <v>33</v>
      </c>
      <c r="B586" t="s">
        <v>34</v>
      </c>
      <c r="C586" t="str">
        <f t="shared" si="18"/>
        <v>2020</v>
      </c>
      <c r="D586" t="str">
        <f t="shared" si="19"/>
        <v>01</v>
      </c>
      <c r="E586" t="s">
        <v>22</v>
      </c>
      <c r="F586" t="s">
        <v>127</v>
      </c>
      <c r="G586" t="s">
        <v>128</v>
      </c>
      <c r="H586" t="s">
        <v>129</v>
      </c>
      <c r="I586" t="s">
        <v>26</v>
      </c>
      <c r="J586">
        <v>958</v>
      </c>
      <c r="K586">
        <v>13406.04</v>
      </c>
      <c r="L586">
        <v>823.15</v>
      </c>
      <c r="M586">
        <v>6.1399999999999996E-2</v>
      </c>
      <c r="N586">
        <v>824.89</v>
      </c>
      <c r="O586">
        <v>6.1500000000000006E-2</v>
      </c>
      <c r="P586">
        <v>10.32</v>
      </c>
      <c r="Q586">
        <v>0.629</v>
      </c>
      <c r="R586">
        <v>0</v>
      </c>
      <c r="S586">
        <v>66.66</v>
      </c>
      <c r="T586">
        <v>75.38</v>
      </c>
      <c r="U586">
        <v>120000</v>
      </c>
      <c r="V586">
        <v>10920000</v>
      </c>
    </row>
    <row r="587" spans="1:22" x14ac:dyDescent="0.25">
      <c r="A587" t="s">
        <v>35</v>
      </c>
      <c r="B587" t="s">
        <v>36</v>
      </c>
      <c r="C587" t="str">
        <f t="shared" si="18"/>
        <v>2020</v>
      </c>
      <c r="D587" t="str">
        <f t="shared" si="19"/>
        <v>04</v>
      </c>
      <c r="E587" t="s">
        <v>37</v>
      </c>
      <c r="F587" t="s">
        <v>127</v>
      </c>
      <c r="G587" t="s">
        <v>128</v>
      </c>
      <c r="H587" t="s">
        <v>129</v>
      </c>
      <c r="I587" t="s">
        <v>26</v>
      </c>
      <c r="J587">
        <v>958</v>
      </c>
      <c r="K587">
        <v>2828.16</v>
      </c>
      <c r="L587">
        <v>258.69</v>
      </c>
      <c r="M587">
        <v>9.1499999999999998E-2</v>
      </c>
      <c r="N587">
        <v>-723.86</v>
      </c>
      <c r="O587">
        <v>-0.25590000000000002</v>
      </c>
      <c r="P587">
        <v>1.84</v>
      </c>
      <c r="Q587">
        <v>0.50700000000000001</v>
      </c>
      <c r="R587">
        <v>0</v>
      </c>
      <c r="S587">
        <v>20.57</v>
      </c>
      <c r="T587">
        <v>23.69</v>
      </c>
      <c r="U587">
        <v>120000</v>
      </c>
      <c r="V587">
        <v>10920000</v>
      </c>
    </row>
    <row r="588" spans="1:22" x14ac:dyDescent="0.25">
      <c r="A588" t="s">
        <v>38</v>
      </c>
      <c r="B588" t="s">
        <v>39</v>
      </c>
      <c r="C588" t="str">
        <f t="shared" si="18"/>
        <v>2020</v>
      </c>
      <c r="D588" t="str">
        <f t="shared" si="19"/>
        <v>07</v>
      </c>
      <c r="E588" t="s">
        <v>37</v>
      </c>
      <c r="F588" t="s">
        <v>127</v>
      </c>
      <c r="G588" t="s">
        <v>128</v>
      </c>
      <c r="H588" t="s">
        <v>129</v>
      </c>
      <c r="I588" t="s">
        <v>26</v>
      </c>
      <c r="J588">
        <v>958</v>
      </c>
      <c r="K588">
        <v>2735.92</v>
      </c>
      <c r="L588">
        <v>550.70000000000005</v>
      </c>
      <c r="M588">
        <v>0.20129999999999998</v>
      </c>
      <c r="N588">
        <v>-1033.4000000000001</v>
      </c>
      <c r="O588">
        <v>-0.37770000000000004</v>
      </c>
      <c r="P588">
        <v>1.93</v>
      </c>
      <c r="Q588">
        <v>0.255</v>
      </c>
      <c r="R588">
        <v>0</v>
      </c>
      <c r="S588">
        <v>44.05</v>
      </c>
      <c r="T588">
        <v>50.43</v>
      </c>
      <c r="U588">
        <v>120000</v>
      </c>
      <c r="V588">
        <v>10920000</v>
      </c>
    </row>
    <row r="589" spans="1:22" x14ac:dyDescent="0.25">
      <c r="A589" t="s">
        <v>40</v>
      </c>
      <c r="B589" t="s">
        <v>41</v>
      </c>
      <c r="C589" t="str">
        <f t="shared" si="18"/>
        <v>2020</v>
      </c>
      <c r="D589" t="str">
        <f t="shared" si="19"/>
        <v>10</v>
      </c>
      <c r="E589" t="s">
        <v>37</v>
      </c>
      <c r="F589" t="s">
        <v>127</v>
      </c>
      <c r="G589" t="s">
        <v>128</v>
      </c>
      <c r="H589" t="s">
        <v>129</v>
      </c>
      <c r="I589" t="s">
        <v>26</v>
      </c>
      <c r="J589">
        <v>958</v>
      </c>
      <c r="K589">
        <v>2291.0700000000002</v>
      </c>
      <c r="L589">
        <v>498.61</v>
      </c>
      <c r="M589">
        <v>0.21760000000000002</v>
      </c>
      <c r="N589">
        <v>-691.29</v>
      </c>
      <c r="O589">
        <v>-0.30170000000000002</v>
      </c>
      <c r="P589">
        <v>1.52</v>
      </c>
      <c r="Q589">
        <v>0.28899999999999998</v>
      </c>
      <c r="R589">
        <v>0</v>
      </c>
      <c r="S589">
        <v>39.950000000000003</v>
      </c>
      <c r="T589">
        <v>45.66</v>
      </c>
      <c r="U589">
        <v>120000</v>
      </c>
      <c r="V589">
        <v>10920000</v>
      </c>
    </row>
    <row r="590" spans="1:22" x14ac:dyDescent="0.25">
      <c r="A590" t="s">
        <v>42</v>
      </c>
      <c r="B590" t="s">
        <v>43</v>
      </c>
      <c r="C590" t="str">
        <f t="shared" si="18"/>
        <v>2021</v>
      </c>
      <c r="D590" t="str">
        <f t="shared" si="19"/>
        <v>01</v>
      </c>
      <c r="E590" t="s">
        <v>37</v>
      </c>
      <c r="F590" t="s">
        <v>127</v>
      </c>
      <c r="G590" t="s">
        <v>128</v>
      </c>
      <c r="H590" t="s">
        <v>129</v>
      </c>
      <c r="I590" t="s">
        <v>26</v>
      </c>
      <c r="J590">
        <v>958</v>
      </c>
      <c r="K590">
        <v>2589.87</v>
      </c>
      <c r="L590">
        <v>936.61</v>
      </c>
      <c r="M590">
        <v>0.36159999999999998</v>
      </c>
      <c r="N590">
        <v>-610.17999999999995</v>
      </c>
      <c r="O590">
        <v>-0.23559999999999998</v>
      </c>
      <c r="P590">
        <v>1.76</v>
      </c>
      <c r="Q590">
        <v>0.57700000000000007</v>
      </c>
      <c r="R590">
        <v>0</v>
      </c>
      <c r="S590">
        <v>75.489999999999995</v>
      </c>
      <c r="T590">
        <v>85.77</v>
      </c>
      <c r="U590">
        <v>120000</v>
      </c>
      <c r="V590">
        <v>10920000</v>
      </c>
    </row>
    <row r="591" spans="1:22" x14ac:dyDescent="0.25">
      <c r="A591" t="s">
        <v>44</v>
      </c>
      <c r="B591" t="s">
        <v>45</v>
      </c>
      <c r="C591" t="str">
        <f t="shared" si="18"/>
        <v>2021</v>
      </c>
      <c r="D591" t="str">
        <f t="shared" si="19"/>
        <v>04</v>
      </c>
      <c r="E591" t="s">
        <v>37</v>
      </c>
      <c r="F591" t="s">
        <v>127</v>
      </c>
      <c r="G591" t="s">
        <v>128</v>
      </c>
      <c r="H591" t="s">
        <v>129</v>
      </c>
      <c r="I591" t="s">
        <v>26</v>
      </c>
      <c r="J591">
        <v>958</v>
      </c>
      <c r="K591">
        <v>2840.9</v>
      </c>
      <c r="L591">
        <v>992.85</v>
      </c>
      <c r="M591">
        <v>0.34950000000000003</v>
      </c>
      <c r="N591">
        <v>-1150.92</v>
      </c>
      <c r="O591">
        <v>-0.40509999999999996</v>
      </c>
      <c r="P591">
        <v>2.0299999999999998</v>
      </c>
      <c r="Q591">
        <v>0.36099999999999999</v>
      </c>
      <c r="R591">
        <v>3.66</v>
      </c>
      <c r="S591">
        <v>76.83</v>
      </c>
      <c r="T591">
        <v>90.92</v>
      </c>
      <c r="U591">
        <v>120000</v>
      </c>
      <c r="V591">
        <v>10920000</v>
      </c>
    </row>
    <row r="592" spans="1:22" x14ac:dyDescent="0.25">
      <c r="A592" t="s">
        <v>46</v>
      </c>
      <c r="B592" t="s">
        <v>47</v>
      </c>
      <c r="C592" t="str">
        <f t="shared" si="18"/>
        <v>2021</v>
      </c>
      <c r="D592" t="str">
        <f t="shared" si="19"/>
        <v>07</v>
      </c>
      <c r="E592" t="s">
        <v>48</v>
      </c>
      <c r="F592" t="s">
        <v>127</v>
      </c>
      <c r="G592" t="s">
        <v>128</v>
      </c>
      <c r="H592" t="s">
        <v>129</v>
      </c>
      <c r="I592" t="s">
        <v>26</v>
      </c>
      <c r="J592">
        <v>958</v>
      </c>
      <c r="K592">
        <v>10213.93</v>
      </c>
      <c r="L592">
        <v>981.93</v>
      </c>
      <c r="M592">
        <v>9.6099999999999991E-2</v>
      </c>
      <c r="N592">
        <v>-109.51</v>
      </c>
      <c r="O592">
        <v>-1.0700000000000001E-2</v>
      </c>
      <c r="P592">
        <v>6.93</v>
      </c>
      <c r="Q592">
        <v>0.154</v>
      </c>
      <c r="R592">
        <v>0</v>
      </c>
      <c r="S592">
        <v>78.97</v>
      </c>
      <c r="T592">
        <v>89.92</v>
      </c>
      <c r="U592">
        <v>120000</v>
      </c>
      <c r="V592">
        <v>10920000</v>
      </c>
    </row>
    <row r="593" spans="1:22" x14ac:dyDescent="0.25">
      <c r="A593" t="s">
        <v>49</v>
      </c>
      <c r="B593" t="s">
        <v>50</v>
      </c>
      <c r="C593" t="str">
        <f t="shared" si="18"/>
        <v>2021</v>
      </c>
      <c r="D593" t="str">
        <f t="shared" si="19"/>
        <v>10</v>
      </c>
      <c r="E593" t="s">
        <v>48</v>
      </c>
      <c r="F593" t="s">
        <v>127</v>
      </c>
      <c r="G593" t="s">
        <v>128</v>
      </c>
      <c r="H593" t="s">
        <v>129</v>
      </c>
      <c r="I593" t="s">
        <v>26</v>
      </c>
      <c r="J593">
        <v>958</v>
      </c>
      <c r="K593">
        <v>11030.98</v>
      </c>
      <c r="L593">
        <v>1138.4100000000001</v>
      </c>
      <c r="M593">
        <v>0.1032</v>
      </c>
      <c r="N593">
        <v>427.83</v>
      </c>
      <c r="O593">
        <v>3.8800000000000001E-2</v>
      </c>
      <c r="P593">
        <v>8.16</v>
      </c>
      <c r="Q593">
        <v>0.126</v>
      </c>
      <c r="R593">
        <v>22.71</v>
      </c>
      <c r="S593">
        <v>86.82</v>
      </c>
      <c r="T593">
        <v>104.25</v>
      </c>
      <c r="U593">
        <v>120000</v>
      </c>
      <c r="V593">
        <v>10920000</v>
      </c>
    </row>
    <row r="594" spans="1:22" x14ac:dyDescent="0.25">
      <c r="A594" t="s">
        <v>51</v>
      </c>
      <c r="B594" t="s">
        <v>52</v>
      </c>
      <c r="C594" t="str">
        <f t="shared" si="18"/>
        <v>2022</v>
      </c>
      <c r="D594" t="str">
        <f t="shared" si="19"/>
        <v>01</v>
      </c>
      <c r="E594" t="s">
        <v>48</v>
      </c>
      <c r="F594" t="s">
        <v>127</v>
      </c>
      <c r="G594" t="s">
        <v>128</v>
      </c>
      <c r="H594" t="s">
        <v>129</v>
      </c>
      <c r="I594" t="s">
        <v>26</v>
      </c>
      <c r="J594">
        <v>958</v>
      </c>
      <c r="K594">
        <v>10326.57</v>
      </c>
      <c r="L594">
        <v>889.32</v>
      </c>
      <c r="M594">
        <v>8.6099999999999996E-2</v>
      </c>
      <c r="N594">
        <v>507.51</v>
      </c>
      <c r="O594">
        <v>4.9100000000000005E-2</v>
      </c>
      <c r="P594">
        <v>7.04</v>
      </c>
      <c r="Q594">
        <v>0.10300000000000001</v>
      </c>
      <c r="R594">
        <v>0</v>
      </c>
      <c r="S594">
        <v>72.010000000000005</v>
      </c>
      <c r="T594">
        <v>81.44</v>
      </c>
      <c r="U594">
        <v>120000</v>
      </c>
      <c r="V594">
        <v>10920000</v>
      </c>
    </row>
    <row r="595" spans="1:22" x14ac:dyDescent="0.25">
      <c r="A595" t="s">
        <v>53</v>
      </c>
      <c r="B595" t="s">
        <v>54</v>
      </c>
      <c r="C595" t="str">
        <f t="shared" si="18"/>
        <v>2022</v>
      </c>
      <c r="D595" t="str">
        <f t="shared" si="19"/>
        <v>04</v>
      </c>
      <c r="E595" t="s">
        <v>55</v>
      </c>
      <c r="F595" t="s">
        <v>127</v>
      </c>
      <c r="G595" t="s">
        <v>128</v>
      </c>
      <c r="H595" t="s">
        <v>129</v>
      </c>
      <c r="I595" t="s">
        <v>26</v>
      </c>
      <c r="J595">
        <v>958</v>
      </c>
      <c r="K595">
        <v>13720.09</v>
      </c>
      <c r="L595">
        <v>1437.4</v>
      </c>
      <c r="M595">
        <v>0.1048</v>
      </c>
      <c r="N595">
        <v>945.2</v>
      </c>
      <c r="O595">
        <v>6.8900000000000003E-2</v>
      </c>
      <c r="P595">
        <v>9.81</v>
      </c>
      <c r="Q595">
        <v>0.11900000000000001</v>
      </c>
      <c r="R595">
        <v>79.12</v>
      </c>
      <c r="S595">
        <v>109.53</v>
      </c>
      <c r="T595">
        <v>131.63</v>
      </c>
      <c r="U595">
        <v>120000</v>
      </c>
      <c r="V595">
        <v>10920000</v>
      </c>
    </row>
    <row r="596" spans="1:22" x14ac:dyDescent="0.25">
      <c r="A596" t="s">
        <v>56</v>
      </c>
      <c r="B596" t="s">
        <v>57</v>
      </c>
      <c r="C596" t="str">
        <f t="shared" si="18"/>
        <v>2022</v>
      </c>
      <c r="D596" t="str">
        <f t="shared" si="19"/>
        <v>07</v>
      </c>
      <c r="E596" t="s">
        <v>55</v>
      </c>
      <c r="F596" t="s">
        <v>127</v>
      </c>
      <c r="G596" t="s">
        <v>128</v>
      </c>
      <c r="H596" t="s">
        <v>129</v>
      </c>
      <c r="I596" t="s">
        <v>26</v>
      </c>
      <c r="J596">
        <v>958</v>
      </c>
      <c r="K596">
        <v>12572.98</v>
      </c>
      <c r="L596">
        <v>1031.83</v>
      </c>
      <c r="M596">
        <v>8.2100000000000006E-2</v>
      </c>
      <c r="N596">
        <v>879.99</v>
      </c>
      <c r="O596">
        <v>7.0000000000000007E-2</v>
      </c>
      <c r="P596">
        <v>9.0500000000000007</v>
      </c>
      <c r="Q596">
        <v>0.36099999999999999</v>
      </c>
      <c r="R596">
        <v>18.579999999999998</v>
      </c>
      <c r="S596">
        <v>80.69</v>
      </c>
      <c r="T596">
        <v>94.49</v>
      </c>
      <c r="U596">
        <v>120000</v>
      </c>
      <c r="V596">
        <v>10920000</v>
      </c>
    </row>
    <row r="597" spans="1:22" x14ac:dyDescent="0.25">
      <c r="A597" t="s">
        <v>58</v>
      </c>
      <c r="B597" t="s">
        <v>59</v>
      </c>
      <c r="C597" t="str">
        <f t="shared" si="18"/>
        <v>2022</v>
      </c>
      <c r="D597" t="str">
        <f t="shared" si="19"/>
        <v>10</v>
      </c>
      <c r="E597" t="s">
        <v>55</v>
      </c>
      <c r="F597" t="s">
        <v>127</v>
      </c>
      <c r="G597" t="s">
        <v>128</v>
      </c>
      <c r="H597" t="s">
        <v>129</v>
      </c>
      <c r="I597" t="s">
        <v>26</v>
      </c>
      <c r="J597">
        <v>958</v>
      </c>
      <c r="K597">
        <v>13907.89</v>
      </c>
      <c r="L597">
        <v>1152.72</v>
      </c>
      <c r="M597">
        <v>8.2899999999999988E-2</v>
      </c>
      <c r="N597">
        <v>1184.57</v>
      </c>
      <c r="O597">
        <v>8.5199999999999998E-2</v>
      </c>
      <c r="P597">
        <v>9.35</v>
      </c>
      <c r="Q597">
        <v>0.10199999999999999</v>
      </c>
      <c r="R597">
        <v>20.329999999999998</v>
      </c>
      <c r="S597">
        <v>93.25</v>
      </c>
      <c r="T597">
        <v>105.56</v>
      </c>
      <c r="U597">
        <v>120000</v>
      </c>
      <c r="V597">
        <v>10920000</v>
      </c>
    </row>
    <row r="598" spans="1:22" x14ac:dyDescent="0.25">
      <c r="A598" t="s">
        <v>60</v>
      </c>
      <c r="B598" t="s">
        <v>61</v>
      </c>
      <c r="C598" t="str">
        <f t="shared" si="18"/>
        <v>2023</v>
      </c>
      <c r="D598" t="str">
        <f t="shared" si="19"/>
        <v>01</v>
      </c>
      <c r="E598" t="s">
        <v>62</v>
      </c>
      <c r="F598" t="s">
        <v>127</v>
      </c>
      <c r="G598" t="s">
        <v>128</v>
      </c>
      <c r="H598" t="s">
        <v>129</v>
      </c>
      <c r="I598" t="s">
        <v>26</v>
      </c>
      <c r="J598">
        <v>958</v>
      </c>
      <c r="K598">
        <v>12885.2</v>
      </c>
      <c r="L598">
        <v>1060.6600000000001</v>
      </c>
      <c r="M598">
        <v>8.2299999999999998E-2</v>
      </c>
      <c r="N598">
        <v>877.88</v>
      </c>
      <c r="O598">
        <v>6.8099999999999994E-2</v>
      </c>
      <c r="P598">
        <v>9.8800000000000008</v>
      </c>
      <c r="Q598">
        <v>8.900000000000001E-2</v>
      </c>
      <c r="R598">
        <v>7.48</v>
      </c>
      <c r="S598">
        <v>84.29</v>
      </c>
      <c r="T598">
        <v>97.13</v>
      </c>
      <c r="U598">
        <v>120000</v>
      </c>
      <c r="V598">
        <v>10920000</v>
      </c>
    </row>
    <row r="599" spans="1:22" x14ac:dyDescent="0.25">
      <c r="A599" t="s">
        <v>63</v>
      </c>
      <c r="B599" t="s">
        <v>64</v>
      </c>
      <c r="C599" t="str">
        <f t="shared" si="18"/>
        <v>2023</v>
      </c>
      <c r="D599" t="str">
        <f t="shared" si="19"/>
        <v>04</v>
      </c>
      <c r="E599" t="s">
        <v>62</v>
      </c>
      <c r="F599" t="s">
        <v>127</v>
      </c>
      <c r="G599" t="s">
        <v>128</v>
      </c>
      <c r="H599" t="s">
        <v>129</v>
      </c>
      <c r="I599" t="s">
        <v>26</v>
      </c>
      <c r="J599">
        <v>958</v>
      </c>
      <c r="K599">
        <v>14047.95</v>
      </c>
      <c r="L599">
        <v>1113.51</v>
      </c>
      <c r="M599">
        <v>7.9299999999999995E-2</v>
      </c>
      <c r="N599">
        <v>847.62</v>
      </c>
      <c r="O599">
        <v>6.0299999999999999E-2</v>
      </c>
      <c r="P599">
        <v>9.59</v>
      </c>
      <c r="Q599">
        <v>8.199999999999999E-2</v>
      </c>
      <c r="R599">
        <v>12.14</v>
      </c>
      <c r="S599">
        <v>88.18</v>
      </c>
      <c r="T599">
        <v>101.97</v>
      </c>
      <c r="U599">
        <v>120000</v>
      </c>
      <c r="V599">
        <v>10920000</v>
      </c>
    </row>
    <row r="600" spans="1:22" x14ac:dyDescent="0.25">
      <c r="A600" t="s">
        <v>65</v>
      </c>
      <c r="B600" t="s">
        <v>66</v>
      </c>
      <c r="C600" t="str">
        <f t="shared" si="18"/>
        <v>2023</v>
      </c>
      <c r="D600" t="str">
        <f t="shared" si="19"/>
        <v>07</v>
      </c>
      <c r="E600" t="s">
        <v>62</v>
      </c>
      <c r="F600" t="s">
        <v>127</v>
      </c>
      <c r="G600" t="s">
        <v>128</v>
      </c>
      <c r="H600" t="s">
        <v>129</v>
      </c>
      <c r="I600" t="s">
        <v>26</v>
      </c>
      <c r="J600">
        <v>958</v>
      </c>
      <c r="K600">
        <v>12717.37</v>
      </c>
      <c r="L600">
        <v>1064.92</v>
      </c>
      <c r="M600">
        <v>8.3699999999999997E-2</v>
      </c>
      <c r="N600">
        <v>629.69000000000005</v>
      </c>
      <c r="O600">
        <v>4.9500000000000002E-2</v>
      </c>
      <c r="P600">
        <v>8.67</v>
      </c>
      <c r="Q600">
        <v>0.34</v>
      </c>
      <c r="R600">
        <v>30.25</v>
      </c>
      <c r="S600">
        <v>85.16</v>
      </c>
      <c r="T600">
        <v>97.52</v>
      </c>
      <c r="U600">
        <v>120000</v>
      </c>
      <c r="V600">
        <v>10920000</v>
      </c>
    </row>
    <row r="601" spans="1:22" x14ac:dyDescent="0.25">
      <c r="A601" t="s">
        <v>67</v>
      </c>
      <c r="B601" t="s">
        <v>68</v>
      </c>
      <c r="C601" t="str">
        <f t="shared" si="18"/>
        <v>2023</v>
      </c>
      <c r="D601" t="str">
        <f t="shared" si="19"/>
        <v>10</v>
      </c>
      <c r="E601" t="s">
        <v>69</v>
      </c>
      <c r="F601" t="s">
        <v>127</v>
      </c>
      <c r="G601" t="s">
        <v>128</v>
      </c>
      <c r="H601" t="s">
        <v>129</v>
      </c>
      <c r="I601" t="s">
        <v>26</v>
      </c>
      <c r="J601">
        <v>958</v>
      </c>
      <c r="K601">
        <v>12884.59</v>
      </c>
      <c r="L601">
        <v>982.36</v>
      </c>
      <c r="M601">
        <v>7.6200000000000004E-2</v>
      </c>
      <c r="N601">
        <v>1717.1</v>
      </c>
      <c r="O601">
        <v>0.1333</v>
      </c>
      <c r="P601">
        <v>9.23</v>
      </c>
      <c r="Q601">
        <v>0.57499999999999996</v>
      </c>
      <c r="R601">
        <v>0</v>
      </c>
      <c r="S601">
        <v>78.33</v>
      </c>
      <c r="T601">
        <v>89.96</v>
      </c>
      <c r="U601">
        <v>120000</v>
      </c>
      <c r="V601">
        <v>10920000</v>
      </c>
    </row>
    <row r="602" spans="1:22" x14ac:dyDescent="0.25">
      <c r="A602" t="s">
        <v>70</v>
      </c>
      <c r="B602" t="s">
        <v>71</v>
      </c>
      <c r="C602" t="str">
        <f t="shared" si="18"/>
        <v>2024</v>
      </c>
      <c r="D602" t="str">
        <f t="shared" si="19"/>
        <v>01</v>
      </c>
      <c r="E602" t="s">
        <v>69</v>
      </c>
      <c r="F602" t="s">
        <v>127</v>
      </c>
      <c r="G602" t="s">
        <v>128</v>
      </c>
      <c r="H602" t="s">
        <v>129</v>
      </c>
      <c r="I602" t="s">
        <v>26</v>
      </c>
      <c r="J602">
        <v>958</v>
      </c>
      <c r="K602">
        <v>12795.37</v>
      </c>
      <c r="L602">
        <v>1081.3</v>
      </c>
      <c r="M602">
        <v>8.4499999999999992E-2</v>
      </c>
      <c r="N602">
        <v>695.42</v>
      </c>
      <c r="O602">
        <v>5.4299999999999994E-2</v>
      </c>
      <c r="P602">
        <v>9.6300000000000008</v>
      </c>
      <c r="Q602">
        <v>0.36899999999999999</v>
      </c>
      <c r="R602">
        <v>39.99</v>
      </c>
      <c r="S602">
        <v>84.61</v>
      </c>
      <c r="T602">
        <v>99.02</v>
      </c>
      <c r="U602">
        <v>120000</v>
      </c>
      <c r="V602">
        <v>10920000</v>
      </c>
    </row>
    <row r="603" spans="1:22" x14ac:dyDescent="0.25">
      <c r="A603" t="s">
        <v>72</v>
      </c>
      <c r="B603" t="s">
        <v>73</v>
      </c>
      <c r="C603" t="str">
        <f t="shared" si="18"/>
        <v>2024</v>
      </c>
      <c r="D603" t="str">
        <f t="shared" si="19"/>
        <v>04</v>
      </c>
      <c r="E603" t="s">
        <v>69</v>
      </c>
      <c r="F603" t="s">
        <v>127</v>
      </c>
      <c r="G603" t="s">
        <v>128</v>
      </c>
      <c r="H603" t="s">
        <v>129</v>
      </c>
      <c r="I603" t="s">
        <v>26</v>
      </c>
      <c r="J603">
        <v>958</v>
      </c>
      <c r="K603">
        <v>14150.61</v>
      </c>
      <c r="L603">
        <v>1111.44</v>
      </c>
      <c r="M603">
        <v>7.85E-2</v>
      </c>
      <c r="N603">
        <v>773.89</v>
      </c>
      <c r="O603">
        <v>5.4699999999999999E-2</v>
      </c>
      <c r="P603">
        <v>9.02</v>
      </c>
      <c r="Q603">
        <v>0.59599999999999997</v>
      </c>
      <c r="R603">
        <v>86.7</v>
      </c>
      <c r="S603">
        <v>84.06</v>
      </c>
      <c r="T603">
        <v>101.78</v>
      </c>
      <c r="U603">
        <v>120000</v>
      </c>
      <c r="V603">
        <v>10920000</v>
      </c>
    </row>
    <row r="604" spans="1:22" x14ac:dyDescent="0.25">
      <c r="A604" t="s">
        <v>74</v>
      </c>
      <c r="B604" t="s">
        <v>75</v>
      </c>
      <c r="C604" t="str">
        <f t="shared" si="18"/>
        <v>2024</v>
      </c>
      <c r="D604" t="str">
        <f t="shared" si="19"/>
        <v>07</v>
      </c>
      <c r="E604" t="s">
        <v>69</v>
      </c>
      <c r="F604" t="s">
        <v>127</v>
      </c>
      <c r="G604" t="s">
        <v>128</v>
      </c>
      <c r="H604" t="s">
        <v>129</v>
      </c>
      <c r="I604" t="s">
        <v>26</v>
      </c>
      <c r="J604">
        <v>958</v>
      </c>
      <c r="K604">
        <v>13739.2</v>
      </c>
      <c r="L604">
        <v>1026.26</v>
      </c>
      <c r="M604">
        <v>7.4700000000000003E-2</v>
      </c>
      <c r="N604">
        <v>1658.55</v>
      </c>
      <c r="O604">
        <v>0.1207</v>
      </c>
      <c r="P604">
        <v>9.2799999999999994</v>
      </c>
      <c r="Q604">
        <v>2E-3</v>
      </c>
      <c r="R604">
        <v>0.09</v>
      </c>
      <c r="S604">
        <v>80.400000000000006</v>
      </c>
      <c r="T604">
        <v>93.98</v>
      </c>
      <c r="U604">
        <v>120000</v>
      </c>
      <c r="V604">
        <v>10920000</v>
      </c>
    </row>
    <row r="605" spans="1:22" x14ac:dyDescent="0.25">
      <c r="A605" t="s">
        <v>76</v>
      </c>
      <c r="B605" t="s">
        <v>77</v>
      </c>
      <c r="C605" t="str">
        <f t="shared" si="18"/>
        <v>2024</v>
      </c>
      <c r="D605" t="str">
        <f t="shared" si="19"/>
        <v>10</v>
      </c>
      <c r="E605" t="s">
        <v>69</v>
      </c>
      <c r="F605" t="s">
        <v>127</v>
      </c>
      <c r="G605" t="s">
        <v>128</v>
      </c>
      <c r="H605" t="s">
        <v>129</v>
      </c>
      <c r="I605" t="s">
        <v>26</v>
      </c>
      <c r="J605">
        <v>958</v>
      </c>
      <c r="K605">
        <v>13368.62</v>
      </c>
      <c r="L605">
        <v>1228.72</v>
      </c>
      <c r="M605">
        <v>9.1899999999999996E-2</v>
      </c>
      <c r="N605">
        <v>1858.25</v>
      </c>
      <c r="O605">
        <v>0.13900000000000001</v>
      </c>
      <c r="P605">
        <v>10.18</v>
      </c>
      <c r="Q605">
        <v>4.7E-2</v>
      </c>
      <c r="R605">
        <v>14.45</v>
      </c>
      <c r="S605">
        <v>94.78</v>
      </c>
      <c r="T605">
        <v>112.52</v>
      </c>
      <c r="U605">
        <v>120000</v>
      </c>
      <c r="V605">
        <v>10920000</v>
      </c>
    </row>
    <row r="606" spans="1:22" x14ac:dyDescent="0.25">
      <c r="A606" t="s">
        <v>78</v>
      </c>
      <c r="B606" t="s">
        <v>79</v>
      </c>
      <c r="C606" t="str">
        <f t="shared" si="18"/>
        <v>2025</v>
      </c>
      <c r="D606" t="str">
        <f t="shared" si="19"/>
        <v>01</v>
      </c>
      <c r="E606" t="s">
        <v>80</v>
      </c>
      <c r="F606" t="s">
        <v>127</v>
      </c>
      <c r="G606" t="s">
        <v>128</v>
      </c>
      <c r="H606" t="s">
        <v>129</v>
      </c>
      <c r="I606" t="s">
        <v>26</v>
      </c>
      <c r="J606">
        <v>958</v>
      </c>
      <c r="K606">
        <v>12862.24</v>
      </c>
      <c r="L606">
        <v>1108.82</v>
      </c>
      <c r="M606">
        <v>8.6199999999999999E-2</v>
      </c>
      <c r="N606">
        <v>914.8</v>
      </c>
      <c r="O606">
        <v>7.1099999999999997E-2</v>
      </c>
      <c r="P606">
        <v>9.65</v>
      </c>
      <c r="Q606">
        <v>0.53600000000000003</v>
      </c>
      <c r="R606">
        <v>76.209999999999994</v>
      </c>
      <c r="S606">
        <v>85.13</v>
      </c>
      <c r="T606">
        <v>101.54</v>
      </c>
      <c r="U606">
        <v>120000</v>
      </c>
      <c r="V606">
        <v>10920000</v>
      </c>
    </row>
    <row r="607" spans="1:22" x14ac:dyDescent="0.25">
      <c r="A607" t="s">
        <v>81</v>
      </c>
      <c r="B607" t="s">
        <v>82</v>
      </c>
      <c r="C607" t="str">
        <f t="shared" si="18"/>
        <v>2025</v>
      </c>
      <c r="D607" t="str">
        <f t="shared" si="19"/>
        <v>04</v>
      </c>
      <c r="E607" t="s">
        <v>80</v>
      </c>
      <c r="F607" t="s">
        <v>127</v>
      </c>
      <c r="G607" t="s">
        <v>128</v>
      </c>
      <c r="H607" t="s">
        <v>129</v>
      </c>
      <c r="I607" t="s">
        <v>26</v>
      </c>
      <c r="J607">
        <v>958</v>
      </c>
      <c r="K607">
        <v>12857.47</v>
      </c>
      <c r="L607">
        <v>1315.1</v>
      </c>
      <c r="M607">
        <v>0.1023</v>
      </c>
      <c r="N607">
        <v>1199.7</v>
      </c>
      <c r="O607">
        <v>9.3299999999999994E-2</v>
      </c>
      <c r="P607">
        <v>9.06</v>
      </c>
      <c r="Q607">
        <v>0.26899999999999996</v>
      </c>
      <c r="R607">
        <v>119.61</v>
      </c>
      <c r="S607">
        <v>101.77</v>
      </c>
      <c r="T607">
        <v>120.43</v>
      </c>
      <c r="U607">
        <v>120000</v>
      </c>
      <c r="V607">
        <v>10920000</v>
      </c>
    </row>
    <row r="608" spans="1:22" x14ac:dyDescent="0.25">
      <c r="A608" t="s">
        <v>83</v>
      </c>
      <c r="B608" t="s">
        <v>84</v>
      </c>
      <c r="C608" t="str">
        <f t="shared" si="18"/>
        <v>2025</v>
      </c>
      <c r="D608" t="str">
        <f t="shared" si="19"/>
        <v>07</v>
      </c>
      <c r="E608" t="s">
        <v>80</v>
      </c>
      <c r="F608" t="s">
        <v>127</v>
      </c>
      <c r="G608" t="s">
        <v>128</v>
      </c>
      <c r="H608" t="s">
        <v>129</v>
      </c>
      <c r="I608" t="s">
        <v>26</v>
      </c>
      <c r="J608">
        <v>958</v>
      </c>
      <c r="K608">
        <v>13459.64</v>
      </c>
      <c r="L608">
        <v>1225.44</v>
      </c>
      <c r="M608">
        <v>9.0999999999999998E-2</v>
      </c>
      <c r="N608">
        <v>932.47</v>
      </c>
      <c r="O608">
        <v>6.93E-2</v>
      </c>
      <c r="P608">
        <v>9.5399999999999991</v>
      </c>
      <c r="Q608">
        <v>0.44600000000000001</v>
      </c>
      <c r="R608">
        <v>134.94</v>
      </c>
      <c r="S608">
        <v>93.24</v>
      </c>
      <c r="T608">
        <v>112.22</v>
      </c>
      <c r="U608">
        <v>120000</v>
      </c>
      <c r="V608">
        <v>10920000</v>
      </c>
    </row>
    <row r="609" spans="1:22" x14ac:dyDescent="0.25">
      <c r="A609" t="s">
        <v>85</v>
      </c>
      <c r="B609" t="s">
        <v>86</v>
      </c>
      <c r="C609" t="str">
        <f t="shared" si="18"/>
        <v>2025</v>
      </c>
      <c r="D609" t="str">
        <f t="shared" si="19"/>
        <v>10</v>
      </c>
      <c r="E609" t="s">
        <v>80</v>
      </c>
      <c r="F609" t="s">
        <v>127</v>
      </c>
      <c r="G609" t="s">
        <v>128</v>
      </c>
      <c r="H609" t="s">
        <v>129</v>
      </c>
      <c r="I609" t="s">
        <v>26</v>
      </c>
      <c r="J609">
        <v>958</v>
      </c>
      <c r="K609">
        <v>12647.26</v>
      </c>
      <c r="L609">
        <v>1219.44</v>
      </c>
      <c r="M609">
        <v>9.64E-2</v>
      </c>
      <c r="N609">
        <v>1729.27</v>
      </c>
      <c r="O609">
        <v>0.13669999999999999</v>
      </c>
      <c r="P609">
        <v>8.31</v>
      </c>
      <c r="Q609">
        <v>0.23399999999999999</v>
      </c>
      <c r="R609">
        <v>68.709999999999994</v>
      </c>
      <c r="S609">
        <v>99.34</v>
      </c>
      <c r="T609">
        <v>111.67</v>
      </c>
      <c r="U609">
        <v>120000</v>
      </c>
      <c r="V609">
        <v>10920000</v>
      </c>
    </row>
    <row r="610" spans="1:22" x14ac:dyDescent="0.25">
      <c r="A610" t="s">
        <v>87</v>
      </c>
      <c r="B610" t="s">
        <v>88</v>
      </c>
      <c r="C610" t="str">
        <f t="shared" si="18"/>
        <v>2026</v>
      </c>
      <c r="D610" t="str">
        <f t="shared" si="19"/>
        <v>01</v>
      </c>
      <c r="E610" t="s">
        <v>89</v>
      </c>
      <c r="F610" t="s">
        <v>127</v>
      </c>
      <c r="G610" t="s">
        <v>128</v>
      </c>
      <c r="H610" t="s">
        <v>129</v>
      </c>
      <c r="I610" t="s">
        <v>26</v>
      </c>
      <c r="J610">
        <v>958</v>
      </c>
      <c r="K610">
        <v>10482.459999999999</v>
      </c>
      <c r="L610">
        <v>1603.06</v>
      </c>
      <c r="M610">
        <v>0.15289999999999998</v>
      </c>
      <c r="N610">
        <v>-2534.69</v>
      </c>
      <c r="O610">
        <v>-0.24179999999999999</v>
      </c>
      <c r="P610">
        <v>7.45</v>
      </c>
      <c r="Q610">
        <v>0.56499999999999995</v>
      </c>
      <c r="R610">
        <v>571.61</v>
      </c>
      <c r="S610">
        <v>130.88</v>
      </c>
      <c r="T610">
        <v>146.80000000000001</v>
      </c>
      <c r="U610">
        <v>120000</v>
      </c>
      <c r="V610">
        <v>10920000</v>
      </c>
    </row>
    <row r="611" spans="1:22" x14ac:dyDescent="0.25">
      <c r="A611" t="s">
        <v>20</v>
      </c>
      <c r="B611" t="s">
        <v>21</v>
      </c>
      <c r="C611" t="str">
        <f t="shared" si="18"/>
        <v>2019</v>
      </c>
      <c r="D611" t="str">
        <f t="shared" si="19"/>
        <v>01</v>
      </c>
      <c r="E611" t="s">
        <v>22</v>
      </c>
      <c r="F611" t="s">
        <v>130</v>
      </c>
      <c r="G611" t="s">
        <v>128</v>
      </c>
      <c r="H611" t="s">
        <v>129</v>
      </c>
      <c r="I611" t="s">
        <v>26</v>
      </c>
      <c r="J611">
        <v>952</v>
      </c>
      <c r="K611">
        <v>14326.25</v>
      </c>
      <c r="L611">
        <v>780.48</v>
      </c>
      <c r="M611">
        <v>5.45E-2</v>
      </c>
      <c r="N611">
        <v>1040.3599999999999</v>
      </c>
      <c r="O611">
        <v>7.2599999999999998E-2</v>
      </c>
      <c r="P611">
        <v>9.9700000000000006</v>
      </c>
      <c r="Q611">
        <v>0.505</v>
      </c>
      <c r="R611">
        <v>0</v>
      </c>
      <c r="S611">
        <v>63</v>
      </c>
      <c r="T611">
        <v>74.58</v>
      </c>
      <c r="U611">
        <v>115000</v>
      </c>
      <c r="V611">
        <v>10465000</v>
      </c>
    </row>
    <row r="612" spans="1:22" x14ac:dyDescent="0.25">
      <c r="A612" t="s">
        <v>27</v>
      </c>
      <c r="B612" t="s">
        <v>28</v>
      </c>
      <c r="C612" t="str">
        <f t="shared" si="18"/>
        <v>2019</v>
      </c>
      <c r="D612" t="str">
        <f t="shared" si="19"/>
        <v>04</v>
      </c>
      <c r="E612" t="s">
        <v>22</v>
      </c>
      <c r="F612" t="s">
        <v>130</v>
      </c>
      <c r="G612" t="s">
        <v>128</v>
      </c>
      <c r="H612" t="s">
        <v>129</v>
      </c>
      <c r="I612" t="s">
        <v>26</v>
      </c>
      <c r="J612">
        <v>952</v>
      </c>
      <c r="K612">
        <v>13195.03</v>
      </c>
      <c r="L612">
        <v>767.5</v>
      </c>
      <c r="M612">
        <v>5.8200000000000002E-2</v>
      </c>
      <c r="N612">
        <v>1225.1199999999999</v>
      </c>
      <c r="O612">
        <v>9.2799999999999994E-2</v>
      </c>
      <c r="P612">
        <v>8.83</v>
      </c>
      <c r="Q612">
        <v>0.24600000000000002</v>
      </c>
      <c r="R612">
        <v>0</v>
      </c>
      <c r="S612">
        <v>64.790000000000006</v>
      </c>
      <c r="T612">
        <v>73.34</v>
      </c>
      <c r="U612">
        <v>115000</v>
      </c>
      <c r="V612">
        <v>10465000</v>
      </c>
    </row>
    <row r="613" spans="1:22" x14ac:dyDescent="0.25">
      <c r="A613" t="s">
        <v>29</v>
      </c>
      <c r="B613" t="s">
        <v>30</v>
      </c>
      <c r="C613" t="str">
        <f t="shared" si="18"/>
        <v>2019</v>
      </c>
      <c r="D613" t="str">
        <f t="shared" si="19"/>
        <v>07</v>
      </c>
      <c r="E613" t="s">
        <v>22</v>
      </c>
      <c r="F613" t="s">
        <v>130</v>
      </c>
      <c r="G613" t="s">
        <v>128</v>
      </c>
      <c r="H613" t="s">
        <v>129</v>
      </c>
      <c r="I613" t="s">
        <v>26</v>
      </c>
      <c r="J613">
        <v>952</v>
      </c>
      <c r="K613">
        <v>12918.04</v>
      </c>
      <c r="L613">
        <v>744.17</v>
      </c>
      <c r="M613">
        <v>5.7599999999999998E-2</v>
      </c>
      <c r="N613">
        <v>1042.3399999999999</v>
      </c>
      <c r="O613">
        <v>8.0700000000000008E-2</v>
      </c>
      <c r="P613">
        <v>8.2799999999999994</v>
      </c>
      <c r="Q613">
        <v>0.19600000000000001</v>
      </c>
      <c r="R613">
        <v>0</v>
      </c>
      <c r="S613">
        <v>60.46</v>
      </c>
      <c r="T613">
        <v>71.11</v>
      </c>
      <c r="U613">
        <v>115000</v>
      </c>
      <c r="V613">
        <v>10465000</v>
      </c>
    </row>
    <row r="614" spans="1:22" x14ac:dyDescent="0.25">
      <c r="A614" t="s">
        <v>31</v>
      </c>
      <c r="B614" t="s">
        <v>32</v>
      </c>
      <c r="C614" t="str">
        <f t="shared" si="18"/>
        <v>2019</v>
      </c>
      <c r="D614" t="str">
        <f t="shared" si="19"/>
        <v>10</v>
      </c>
      <c r="E614" t="s">
        <v>22</v>
      </c>
      <c r="F614" t="s">
        <v>130</v>
      </c>
      <c r="G614" t="s">
        <v>128</v>
      </c>
      <c r="H614" t="s">
        <v>129</v>
      </c>
      <c r="I614" t="s">
        <v>26</v>
      </c>
      <c r="J614">
        <v>952</v>
      </c>
      <c r="K614">
        <v>13330.17</v>
      </c>
      <c r="L614">
        <v>805.49</v>
      </c>
      <c r="M614">
        <v>6.0400000000000002E-2</v>
      </c>
      <c r="N614">
        <v>1107.2</v>
      </c>
      <c r="O614">
        <v>8.3100000000000007E-2</v>
      </c>
      <c r="P614">
        <v>9.93</v>
      </c>
      <c r="Q614">
        <v>0.41</v>
      </c>
      <c r="R614">
        <v>0</v>
      </c>
      <c r="S614">
        <v>65.66</v>
      </c>
      <c r="T614">
        <v>76.97</v>
      </c>
      <c r="U614">
        <v>115000</v>
      </c>
      <c r="V614">
        <v>10465000</v>
      </c>
    </row>
    <row r="615" spans="1:22" x14ac:dyDescent="0.25">
      <c r="A615" t="s">
        <v>33</v>
      </c>
      <c r="B615" t="s">
        <v>34</v>
      </c>
      <c r="C615" t="str">
        <f t="shared" si="18"/>
        <v>2020</v>
      </c>
      <c r="D615" t="str">
        <f t="shared" si="19"/>
        <v>01</v>
      </c>
      <c r="E615" t="s">
        <v>22</v>
      </c>
      <c r="F615" t="s">
        <v>130</v>
      </c>
      <c r="G615" t="s">
        <v>128</v>
      </c>
      <c r="H615" t="s">
        <v>129</v>
      </c>
      <c r="I615" t="s">
        <v>26</v>
      </c>
      <c r="J615">
        <v>952</v>
      </c>
      <c r="K615">
        <v>14454.43</v>
      </c>
      <c r="L615">
        <v>788.85</v>
      </c>
      <c r="M615">
        <v>5.4600000000000003E-2</v>
      </c>
      <c r="N615">
        <v>1431.93</v>
      </c>
      <c r="O615">
        <v>9.9100000000000008E-2</v>
      </c>
      <c r="P615">
        <v>10.55</v>
      </c>
      <c r="Q615">
        <v>0.54200000000000004</v>
      </c>
      <c r="R615">
        <v>0</v>
      </c>
      <c r="S615">
        <v>66.66</v>
      </c>
      <c r="T615">
        <v>75.38</v>
      </c>
      <c r="U615">
        <v>115000</v>
      </c>
      <c r="V615">
        <v>10465000</v>
      </c>
    </row>
    <row r="616" spans="1:22" x14ac:dyDescent="0.25">
      <c r="A616" t="s">
        <v>35</v>
      </c>
      <c r="B616" t="s">
        <v>36</v>
      </c>
      <c r="C616" t="str">
        <f t="shared" si="18"/>
        <v>2020</v>
      </c>
      <c r="D616" t="str">
        <f t="shared" si="19"/>
        <v>04</v>
      </c>
      <c r="E616" t="s">
        <v>37</v>
      </c>
      <c r="F616" t="s">
        <v>130</v>
      </c>
      <c r="G616" t="s">
        <v>128</v>
      </c>
      <c r="H616" t="s">
        <v>129</v>
      </c>
      <c r="I616" t="s">
        <v>26</v>
      </c>
      <c r="J616">
        <v>952</v>
      </c>
      <c r="K616">
        <v>3997.98</v>
      </c>
      <c r="L616">
        <v>247.92</v>
      </c>
      <c r="M616">
        <v>6.2E-2</v>
      </c>
      <c r="N616">
        <v>-1129.51</v>
      </c>
      <c r="O616">
        <v>-0.28249999999999997</v>
      </c>
      <c r="P616">
        <v>2.71</v>
      </c>
      <c r="Q616">
        <v>0.36899999999999999</v>
      </c>
      <c r="R616">
        <v>0</v>
      </c>
      <c r="S616">
        <v>20.57</v>
      </c>
      <c r="T616">
        <v>23.69</v>
      </c>
      <c r="U616">
        <v>115000</v>
      </c>
      <c r="V616">
        <v>10465000</v>
      </c>
    </row>
    <row r="617" spans="1:22" x14ac:dyDescent="0.25">
      <c r="A617" t="s">
        <v>38</v>
      </c>
      <c r="B617" t="s">
        <v>39</v>
      </c>
      <c r="C617" t="str">
        <f t="shared" si="18"/>
        <v>2020</v>
      </c>
      <c r="D617" t="str">
        <f t="shared" si="19"/>
        <v>07</v>
      </c>
      <c r="E617" t="s">
        <v>37</v>
      </c>
      <c r="F617" t="s">
        <v>130</v>
      </c>
      <c r="G617" t="s">
        <v>128</v>
      </c>
      <c r="H617" t="s">
        <v>129</v>
      </c>
      <c r="I617" t="s">
        <v>26</v>
      </c>
      <c r="J617">
        <v>952</v>
      </c>
      <c r="K617">
        <v>2533.88</v>
      </c>
      <c r="L617">
        <v>527.75</v>
      </c>
      <c r="M617">
        <v>0.20829999999999999</v>
      </c>
      <c r="N617">
        <v>-748.61</v>
      </c>
      <c r="O617">
        <v>-0.2954</v>
      </c>
      <c r="P617">
        <v>1.75</v>
      </c>
      <c r="Q617">
        <v>0.52300000000000002</v>
      </c>
      <c r="R617">
        <v>0</v>
      </c>
      <c r="S617">
        <v>44.05</v>
      </c>
      <c r="T617">
        <v>50.43</v>
      </c>
      <c r="U617">
        <v>115000</v>
      </c>
      <c r="V617">
        <v>10465000</v>
      </c>
    </row>
    <row r="618" spans="1:22" x14ac:dyDescent="0.25">
      <c r="A618" t="s">
        <v>40</v>
      </c>
      <c r="B618" t="s">
        <v>41</v>
      </c>
      <c r="C618" t="str">
        <f t="shared" si="18"/>
        <v>2020</v>
      </c>
      <c r="D618" t="str">
        <f t="shared" si="19"/>
        <v>10</v>
      </c>
      <c r="E618" t="s">
        <v>37</v>
      </c>
      <c r="F618" t="s">
        <v>130</v>
      </c>
      <c r="G618" t="s">
        <v>128</v>
      </c>
      <c r="H618" t="s">
        <v>129</v>
      </c>
      <c r="I618" t="s">
        <v>26</v>
      </c>
      <c r="J618">
        <v>952</v>
      </c>
      <c r="K618">
        <v>4437.08</v>
      </c>
      <c r="L618">
        <v>477.83</v>
      </c>
      <c r="M618">
        <v>0.10769999999999999</v>
      </c>
      <c r="N618">
        <v>-1849.38</v>
      </c>
      <c r="O618">
        <v>-0.4168</v>
      </c>
      <c r="P618">
        <v>3.17</v>
      </c>
      <c r="Q618">
        <v>0.61799999999999999</v>
      </c>
      <c r="R618">
        <v>0</v>
      </c>
      <c r="S618">
        <v>39.950000000000003</v>
      </c>
      <c r="T618">
        <v>45.66</v>
      </c>
      <c r="U618">
        <v>115000</v>
      </c>
      <c r="V618">
        <v>10465000</v>
      </c>
    </row>
    <row r="619" spans="1:22" x14ac:dyDescent="0.25">
      <c r="A619" t="s">
        <v>42</v>
      </c>
      <c r="B619" t="s">
        <v>43</v>
      </c>
      <c r="C619" t="str">
        <f t="shared" si="18"/>
        <v>2021</v>
      </c>
      <c r="D619" t="str">
        <f t="shared" si="19"/>
        <v>01</v>
      </c>
      <c r="E619" t="s">
        <v>37</v>
      </c>
      <c r="F619" t="s">
        <v>130</v>
      </c>
      <c r="G619" t="s">
        <v>128</v>
      </c>
      <c r="H619" t="s">
        <v>129</v>
      </c>
      <c r="I619" t="s">
        <v>26</v>
      </c>
      <c r="J619">
        <v>952</v>
      </c>
      <c r="K619">
        <v>4478.26</v>
      </c>
      <c r="L619">
        <v>897.58</v>
      </c>
      <c r="M619">
        <v>0.20039999999999999</v>
      </c>
      <c r="N619">
        <v>-1081.02</v>
      </c>
      <c r="O619">
        <v>-0.2414</v>
      </c>
      <c r="P619">
        <v>2.8</v>
      </c>
      <c r="Q619">
        <v>0.16399999999999998</v>
      </c>
      <c r="R619">
        <v>0</v>
      </c>
      <c r="S619">
        <v>75.489999999999995</v>
      </c>
      <c r="T619">
        <v>85.77</v>
      </c>
      <c r="U619">
        <v>115000</v>
      </c>
      <c r="V619">
        <v>10465000</v>
      </c>
    </row>
    <row r="620" spans="1:22" x14ac:dyDescent="0.25">
      <c r="A620" t="s">
        <v>44</v>
      </c>
      <c r="B620" t="s">
        <v>45</v>
      </c>
      <c r="C620" t="str">
        <f t="shared" si="18"/>
        <v>2021</v>
      </c>
      <c r="D620" t="str">
        <f t="shared" si="19"/>
        <v>04</v>
      </c>
      <c r="E620" t="s">
        <v>37</v>
      </c>
      <c r="F620" t="s">
        <v>130</v>
      </c>
      <c r="G620" t="s">
        <v>128</v>
      </c>
      <c r="H620" t="s">
        <v>129</v>
      </c>
      <c r="I620" t="s">
        <v>26</v>
      </c>
      <c r="J620">
        <v>952</v>
      </c>
      <c r="K620">
        <v>2411.9</v>
      </c>
      <c r="L620">
        <v>951.48</v>
      </c>
      <c r="M620">
        <v>0.39450000000000002</v>
      </c>
      <c r="N620">
        <v>-526.44000000000005</v>
      </c>
      <c r="O620">
        <v>-0.21829999999999999</v>
      </c>
      <c r="P620">
        <v>1.74</v>
      </c>
      <c r="Q620">
        <v>0.34600000000000003</v>
      </c>
      <c r="R620">
        <v>3.37</v>
      </c>
      <c r="S620">
        <v>76.83</v>
      </c>
      <c r="T620">
        <v>90.92</v>
      </c>
      <c r="U620">
        <v>115000</v>
      </c>
      <c r="V620">
        <v>10465000</v>
      </c>
    </row>
    <row r="621" spans="1:22" x14ac:dyDescent="0.25">
      <c r="A621" t="s">
        <v>46</v>
      </c>
      <c r="B621" t="s">
        <v>47</v>
      </c>
      <c r="C621" t="str">
        <f t="shared" si="18"/>
        <v>2021</v>
      </c>
      <c r="D621" t="str">
        <f t="shared" si="19"/>
        <v>07</v>
      </c>
      <c r="E621" t="s">
        <v>48</v>
      </c>
      <c r="F621" t="s">
        <v>130</v>
      </c>
      <c r="G621" t="s">
        <v>128</v>
      </c>
      <c r="H621" t="s">
        <v>129</v>
      </c>
      <c r="I621" t="s">
        <v>26</v>
      </c>
      <c r="J621">
        <v>952</v>
      </c>
      <c r="K621">
        <v>11355.94</v>
      </c>
      <c r="L621">
        <v>941.01</v>
      </c>
      <c r="M621">
        <v>8.2899999999999988E-2</v>
      </c>
      <c r="N621">
        <v>-280.33999999999997</v>
      </c>
      <c r="O621">
        <v>-2.4700000000000003E-2</v>
      </c>
      <c r="P621">
        <v>8.0299999999999994</v>
      </c>
      <c r="Q621">
        <v>0.39600000000000002</v>
      </c>
      <c r="R621">
        <v>0</v>
      </c>
      <c r="S621">
        <v>78.97</v>
      </c>
      <c r="T621">
        <v>89.92</v>
      </c>
      <c r="U621">
        <v>115000</v>
      </c>
      <c r="V621">
        <v>10465000</v>
      </c>
    </row>
    <row r="622" spans="1:22" x14ac:dyDescent="0.25">
      <c r="A622" t="s">
        <v>49</v>
      </c>
      <c r="B622" t="s">
        <v>50</v>
      </c>
      <c r="C622" t="str">
        <f t="shared" si="18"/>
        <v>2021</v>
      </c>
      <c r="D622" t="str">
        <f t="shared" si="19"/>
        <v>10</v>
      </c>
      <c r="E622" t="s">
        <v>48</v>
      </c>
      <c r="F622" t="s">
        <v>130</v>
      </c>
      <c r="G622" t="s">
        <v>128</v>
      </c>
      <c r="H622" t="s">
        <v>129</v>
      </c>
      <c r="I622" t="s">
        <v>26</v>
      </c>
      <c r="J622">
        <v>952</v>
      </c>
      <c r="K622">
        <v>9640.3700000000008</v>
      </c>
      <c r="L622">
        <v>1090.98</v>
      </c>
      <c r="M622">
        <v>0.11320000000000001</v>
      </c>
      <c r="N622">
        <v>126.28</v>
      </c>
      <c r="O622">
        <v>1.3100000000000001E-2</v>
      </c>
      <c r="P622">
        <v>6.28</v>
      </c>
      <c r="Q622">
        <v>0.44</v>
      </c>
      <c r="R622">
        <v>76</v>
      </c>
      <c r="S622">
        <v>86.82</v>
      </c>
      <c r="T622">
        <v>104.25</v>
      </c>
      <c r="U622">
        <v>115000</v>
      </c>
      <c r="V622">
        <v>10465000</v>
      </c>
    </row>
    <row r="623" spans="1:22" x14ac:dyDescent="0.25">
      <c r="A623" t="s">
        <v>51</v>
      </c>
      <c r="B623" t="s">
        <v>52</v>
      </c>
      <c r="C623" t="str">
        <f t="shared" si="18"/>
        <v>2022</v>
      </c>
      <c r="D623" t="str">
        <f t="shared" si="19"/>
        <v>01</v>
      </c>
      <c r="E623" t="s">
        <v>48</v>
      </c>
      <c r="F623" t="s">
        <v>130</v>
      </c>
      <c r="G623" t="s">
        <v>128</v>
      </c>
      <c r="H623" t="s">
        <v>129</v>
      </c>
      <c r="I623" t="s">
        <v>26</v>
      </c>
      <c r="J623">
        <v>952</v>
      </c>
      <c r="K623">
        <v>9849.23</v>
      </c>
      <c r="L623">
        <v>852.27</v>
      </c>
      <c r="M623">
        <v>8.6500000000000007E-2</v>
      </c>
      <c r="N623">
        <v>-462.31</v>
      </c>
      <c r="O623">
        <v>-4.6900000000000004E-2</v>
      </c>
      <c r="P623">
        <v>7.39</v>
      </c>
      <c r="Q623">
        <v>0.32600000000000001</v>
      </c>
      <c r="R623">
        <v>0</v>
      </c>
      <c r="S623">
        <v>72.010000000000005</v>
      </c>
      <c r="T623">
        <v>81.44</v>
      </c>
      <c r="U623">
        <v>115000</v>
      </c>
      <c r="V623">
        <v>10465000</v>
      </c>
    </row>
    <row r="624" spans="1:22" x14ac:dyDescent="0.25">
      <c r="A624" t="s">
        <v>53</v>
      </c>
      <c r="B624" t="s">
        <v>54</v>
      </c>
      <c r="C624" t="str">
        <f t="shared" si="18"/>
        <v>2022</v>
      </c>
      <c r="D624" t="str">
        <f t="shared" si="19"/>
        <v>04</v>
      </c>
      <c r="E624" t="s">
        <v>55</v>
      </c>
      <c r="F624" t="s">
        <v>130</v>
      </c>
      <c r="G624" t="s">
        <v>128</v>
      </c>
      <c r="H624" t="s">
        <v>129</v>
      </c>
      <c r="I624" t="s">
        <v>26</v>
      </c>
      <c r="J624">
        <v>952</v>
      </c>
      <c r="K624">
        <v>13977.13</v>
      </c>
      <c r="L624">
        <v>1377.51</v>
      </c>
      <c r="M624">
        <v>9.8599999999999993E-2</v>
      </c>
      <c r="N624">
        <v>499.74</v>
      </c>
      <c r="O624">
        <v>3.5799999999999998E-2</v>
      </c>
      <c r="P624">
        <v>8.9</v>
      </c>
      <c r="Q624">
        <v>0.58700000000000008</v>
      </c>
      <c r="R624">
        <v>374.02</v>
      </c>
      <c r="S624">
        <v>109.53</v>
      </c>
      <c r="T624">
        <v>131.63</v>
      </c>
      <c r="U624">
        <v>115000</v>
      </c>
      <c r="V624">
        <v>10465000</v>
      </c>
    </row>
    <row r="625" spans="1:22" x14ac:dyDescent="0.25">
      <c r="A625" t="s">
        <v>56</v>
      </c>
      <c r="B625" t="s">
        <v>57</v>
      </c>
      <c r="C625" t="str">
        <f t="shared" si="18"/>
        <v>2022</v>
      </c>
      <c r="D625" t="str">
        <f t="shared" si="19"/>
        <v>07</v>
      </c>
      <c r="E625" t="s">
        <v>55</v>
      </c>
      <c r="F625" t="s">
        <v>130</v>
      </c>
      <c r="G625" t="s">
        <v>128</v>
      </c>
      <c r="H625" t="s">
        <v>129</v>
      </c>
      <c r="I625" t="s">
        <v>26</v>
      </c>
      <c r="J625">
        <v>952</v>
      </c>
      <c r="K625">
        <v>13669.15</v>
      </c>
      <c r="L625">
        <v>988.84</v>
      </c>
      <c r="M625">
        <v>7.2300000000000003E-2</v>
      </c>
      <c r="N625">
        <v>812.88</v>
      </c>
      <c r="O625">
        <v>5.9500000000000004E-2</v>
      </c>
      <c r="P625">
        <v>9.44</v>
      </c>
      <c r="Q625">
        <v>0.154</v>
      </c>
      <c r="R625">
        <v>7.6</v>
      </c>
      <c r="S625">
        <v>80.69</v>
      </c>
      <c r="T625">
        <v>94.49</v>
      </c>
      <c r="U625">
        <v>115000</v>
      </c>
      <c r="V625">
        <v>10465000</v>
      </c>
    </row>
    <row r="626" spans="1:22" x14ac:dyDescent="0.25">
      <c r="A626" t="s">
        <v>58</v>
      </c>
      <c r="B626" t="s">
        <v>59</v>
      </c>
      <c r="C626" t="str">
        <f t="shared" si="18"/>
        <v>2022</v>
      </c>
      <c r="D626" t="str">
        <f t="shared" si="19"/>
        <v>10</v>
      </c>
      <c r="E626" t="s">
        <v>55</v>
      </c>
      <c r="F626" t="s">
        <v>130</v>
      </c>
      <c r="G626" t="s">
        <v>128</v>
      </c>
      <c r="H626" t="s">
        <v>129</v>
      </c>
      <c r="I626" t="s">
        <v>26</v>
      </c>
      <c r="J626">
        <v>952</v>
      </c>
      <c r="K626">
        <v>14533.06</v>
      </c>
      <c r="L626">
        <v>1104.69</v>
      </c>
      <c r="M626">
        <v>7.5999999999999998E-2</v>
      </c>
      <c r="N626">
        <v>539.75</v>
      </c>
      <c r="O626">
        <v>3.7100000000000001E-2</v>
      </c>
      <c r="P626">
        <v>9.31</v>
      </c>
      <c r="Q626">
        <v>0.60499999999999998</v>
      </c>
      <c r="R626">
        <v>115.55</v>
      </c>
      <c r="S626">
        <v>93.25</v>
      </c>
      <c r="T626">
        <v>105.56</v>
      </c>
      <c r="U626">
        <v>115000</v>
      </c>
      <c r="V626">
        <v>10465000</v>
      </c>
    </row>
    <row r="627" spans="1:22" x14ac:dyDescent="0.25">
      <c r="A627" t="s">
        <v>60</v>
      </c>
      <c r="B627" t="s">
        <v>61</v>
      </c>
      <c r="C627" t="str">
        <f t="shared" si="18"/>
        <v>2023</v>
      </c>
      <c r="D627" t="str">
        <f t="shared" si="19"/>
        <v>01</v>
      </c>
      <c r="E627" t="s">
        <v>62</v>
      </c>
      <c r="F627" t="s">
        <v>130</v>
      </c>
      <c r="G627" t="s">
        <v>128</v>
      </c>
      <c r="H627" t="s">
        <v>129</v>
      </c>
      <c r="I627" t="s">
        <v>26</v>
      </c>
      <c r="J627">
        <v>952</v>
      </c>
      <c r="K627">
        <v>13203.28</v>
      </c>
      <c r="L627">
        <v>1016.47</v>
      </c>
      <c r="M627">
        <v>7.6999999999999999E-2</v>
      </c>
      <c r="N627">
        <v>1666.89</v>
      </c>
      <c r="O627">
        <v>0.12619999999999998</v>
      </c>
      <c r="P627">
        <v>9.58</v>
      </c>
      <c r="Q627">
        <v>0.248</v>
      </c>
      <c r="R627">
        <v>19.97</v>
      </c>
      <c r="S627">
        <v>84.29</v>
      </c>
      <c r="T627">
        <v>97.13</v>
      </c>
      <c r="U627">
        <v>115000</v>
      </c>
      <c r="V627">
        <v>10465000</v>
      </c>
    </row>
    <row r="628" spans="1:22" x14ac:dyDescent="0.25">
      <c r="A628" t="s">
        <v>63</v>
      </c>
      <c r="B628" t="s">
        <v>64</v>
      </c>
      <c r="C628" t="str">
        <f t="shared" si="18"/>
        <v>2023</v>
      </c>
      <c r="D628" t="str">
        <f t="shared" si="19"/>
        <v>04</v>
      </c>
      <c r="E628" t="s">
        <v>62</v>
      </c>
      <c r="F628" t="s">
        <v>130</v>
      </c>
      <c r="G628" t="s">
        <v>128</v>
      </c>
      <c r="H628" t="s">
        <v>129</v>
      </c>
      <c r="I628" t="s">
        <v>26</v>
      </c>
      <c r="J628">
        <v>952</v>
      </c>
      <c r="K628">
        <v>13197.05</v>
      </c>
      <c r="L628">
        <v>1067.1199999999999</v>
      </c>
      <c r="M628">
        <v>8.09E-2</v>
      </c>
      <c r="N628">
        <v>1529.52</v>
      </c>
      <c r="O628">
        <v>0.1159</v>
      </c>
      <c r="P628">
        <v>9.26</v>
      </c>
      <c r="Q628">
        <v>0.16500000000000001</v>
      </c>
      <c r="R628">
        <v>23.42</v>
      </c>
      <c r="S628">
        <v>88.18</v>
      </c>
      <c r="T628">
        <v>101.97</v>
      </c>
      <c r="U628">
        <v>115000</v>
      </c>
      <c r="V628">
        <v>10465000</v>
      </c>
    </row>
    <row r="629" spans="1:22" x14ac:dyDescent="0.25">
      <c r="A629" t="s">
        <v>65</v>
      </c>
      <c r="B629" t="s">
        <v>66</v>
      </c>
      <c r="C629" t="str">
        <f t="shared" si="18"/>
        <v>2023</v>
      </c>
      <c r="D629" t="str">
        <f t="shared" si="19"/>
        <v>07</v>
      </c>
      <c r="E629" t="s">
        <v>62</v>
      </c>
      <c r="F629" t="s">
        <v>130</v>
      </c>
      <c r="G629" t="s">
        <v>128</v>
      </c>
      <c r="H629" t="s">
        <v>129</v>
      </c>
      <c r="I629" t="s">
        <v>26</v>
      </c>
      <c r="J629">
        <v>952</v>
      </c>
      <c r="K629">
        <v>14308.56</v>
      </c>
      <c r="L629">
        <v>1020.55</v>
      </c>
      <c r="M629">
        <v>7.1300000000000002E-2</v>
      </c>
      <c r="N629">
        <v>1603.96</v>
      </c>
      <c r="O629">
        <v>0.11210000000000001</v>
      </c>
      <c r="P629">
        <v>10.65</v>
      </c>
      <c r="Q629">
        <v>0.28399999999999997</v>
      </c>
      <c r="R629">
        <v>24.22</v>
      </c>
      <c r="S629">
        <v>85.16</v>
      </c>
      <c r="T629">
        <v>97.52</v>
      </c>
      <c r="U629">
        <v>115000</v>
      </c>
      <c r="V629">
        <v>10465000</v>
      </c>
    </row>
    <row r="630" spans="1:22" x14ac:dyDescent="0.25">
      <c r="A630" t="s">
        <v>67</v>
      </c>
      <c r="B630" t="s">
        <v>68</v>
      </c>
      <c r="C630" t="str">
        <f t="shared" si="18"/>
        <v>2023</v>
      </c>
      <c r="D630" t="str">
        <f t="shared" si="19"/>
        <v>10</v>
      </c>
      <c r="E630" t="s">
        <v>69</v>
      </c>
      <c r="F630" t="s">
        <v>130</v>
      </c>
      <c r="G630" t="s">
        <v>128</v>
      </c>
      <c r="H630" t="s">
        <v>129</v>
      </c>
      <c r="I630" t="s">
        <v>26</v>
      </c>
      <c r="J630">
        <v>952</v>
      </c>
      <c r="K630">
        <v>12977.49</v>
      </c>
      <c r="L630">
        <v>941.43</v>
      </c>
      <c r="M630">
        <v>7.2499999999999995E-2</v>
      </c>
      <c r="N630">
        <v>1718.32</v>
      </c>
      <c r="O630">
        <v>0.13239999999999999</v>
      </c>
      <c r="P630">
        <v>9.11</v>
      </c>
      <c r="Q630">
        <v>0.39399999999999996</v>
      </c>
      <c r="R630">
        <v>0</v>
      </c>
      <c r="S630">
        <v>78.33</v>
      </c>
      <c r="T630">
        <v>89.96</v>
      </c>
      <c r="U630">
        <v>115000</v>
      </c>
      <c r="V630">
        <v>10465000</v>
      </c>
    </row>
    <row r="631" spans="1:22" x14ac:dyDescent="0.25">
      <c r="A631" t="s">
        <v>70</v>
      </c>
      <c r="B631" t="s">
        <v>71</v>
      </c>
      <c r="C631" t="str">
        <f t="shared" si="18"/>
        <v>2024</v>
      </c>
      <c r="D631" t="str">
        <f t="shared" si="19"/>
        <v>01</v>
      </c>
      <c r="E631" t="s">
        <v>69</v>
      </c>
      <c r="F631" t="s">
        <v>130</v>
      </c>
      <c r="G631" t="s">
        <v>128</v>
      </c>
      <c r="H631" t="s">
        <v>129</v>
      </c>
      <c r="I631" t="s">
        <v>26</v>
      </c>
      <c r="J631">
        <v>952</v>
      </c>
      <c r="K631">
        <v>13773.44</v>
      </c>
      <c r="L631">
        <v>1036.24</v>
      </c>
      <c r="M631">
        <v>7.5199999999999989E-2</v>
      </c>
      <c r="N631">
        <v>1201.5899999999999</v>
      </c>
      <c r="O631">
        <v>8.72E-2</v>
      </c>
      <c r="P631">
        <v>9.01</v>
      </c>
      <c r="Q631">
        <v>0.39799999999999996</v>
      </c>
      <c r="R631">
        <v>41.33</v>
      </c>
      <c r="S631">
        <v>84.61</v>
      </c>
      <c r="T631">
        <v>99.02</v>
      </c>
      <c r="U631">
        <v>115000</v>
      </c>
      <c r="V631">
        <v>10465000</v>
      </c>
    </row>
    <row r="632" spans="1:22" x14ac:dyDescent="0.25">
      <c r="A632" t="s">
        <v>72</v>
      </c>
      <c r="B632" t="s">
        <v>73</v>
      </c>
      <c r="C632" t="str">
        <f t="shared" si="18"/>
        <v>2024</v>
      </c>
      <c r="D632" t="str">
        <f t="shared" si="19"/>
        <v>04</v>
      </c>
      <c r="E632" t="s">
        <v>69</v>
      </c>
      <c r="F632" t="s">
        <v>130</v>
      </c>
      <c r="G632" t="s">
        <v>128</v>
      </c>
      <c r="H632" t="s">
        <v>129</v>
      </c>
      <c r="I632" t="s">
        <v>26</v>
      </c>
      <c r="J632">
        <v>952</v>
      </c>
      <c r="K632">
        <v>14007.89</v>
      </c>
      <c r="L632">
        <v>1065.1300000000001</v>
      </c>
      <c r="M632">
        <v>7.5999999999999998E-2</v>
      </c>
      <c r="N632">
        <v>1844.2</v>
      </c>
      <c r="O632">
        <v>0.13170000000000001</v>
      </c>
      <c r="P632">
        <v>8.81</v>
      </c>
      <c r="Q632">
        <v>0.16600000000000001</v>
      </c>
      <c r="R632">
        <v>23.14</v>
      </c>
      <c r="S632">
        <v>84.06</v>
      </c>
      <c r="T632">
        <v>101.78</v>
      </c>
      <c r="U632">
        <v>115000</v>
      </c>
      <c r="V632">
        <v>10465000</v>
      </c>
    </row>
    <row r="633" spans="1:22" x14ac:dyDescent="0.25">
      <c r="A633" t="s">
        <v>74</v>
      </c>
      <c r="B633" t="s">
        <v>75</v>
      </c>
      <c r="C633" t="str">
        <f t="shared" si="18"/>
        <v>2024</v>
      </c>
      <c r="D633" t="str">
        <f t="shared" si="19"/>
        <v>07</v>
      </c>
      <c r="E633" t="s">
        <v>69</v>
      </c>
      <c r="F633" t="s">
        <v>130</v>
      </c>
      <c r="G633" t="s">
        <v>128</v>
      </c>
      <c r="H633" t="s">
        <v>129</v>
      </c>
      <c r="I633" t="s">
        <v>26</v>
      </c>
      <c r="J633">
        <v>952</v>
      </c>
      <c r="K633">
        <v>14109.26</v>
      </c>
      <c r="L633">
        <v>983.5</v>
      </c>
      <c r="M633">
        <v>6.9699999999999998E-2</v>
      </c>
      <c r="N633">
        <v>1658.05</v>
      </c>
      <c r="O633">
        <v>0.11749999999999999</v>
      </c>
      <c r="P633">
        <v>9.15</v>
      </c>
      <c r="Q633">
        <v>0.12</v>
      </c>
      <c r="R633">
        <v>5.22</v>
      </c>
      <c r="S633">
        <v>80.400000000000006</v>
      </c>
      <c r="T633">
        <v>93.98</v>
      </c>
      <c r="U633">
        <v>115000</v>
      </c>
      <c r="V633">
        <v>10465000</v>
      </c>
    </row>
    <row r="634" spans="1:22" x14ac:dyDescent="0.25">
      <c r="A634" t="s">
        <v>76</v>
      </c>
      <c r="B634" t="s">
        <v>77</v>
      </c>
      <c r="C634" t="str">
        <f t="shared" si="18"/>
        <v>2024</v>
      </c>
      <c r="D634" t="str">
        <f t="shared" si="19"/>
        <v>10</v>
      </c>
      <c r="E634" t="s">
        <v>69</v>
      </c>
      <c r="F634" t="s">
        <v>130</v>
      </c>
      <c r="G634" t="s">
        <v>128</v>
      </c>
      <c r="H634" t="s">
        <v>129</v>
      </c>
      <c r="I634" t="s">
        <v>26</v>
      </c>
      <c r="J634">
        <v>952</v>
      </c>
      <c r="K634">
        <v>13394.5</v>
      </c>
      <c r="L634">
        <v>1177.52</v>
      </c>
      <c r="M634">
        <v>8.7899999999999992E-2</v>
      </c>
      <c r="N634">
        <v>620.04999999999995</v>
      </c>
      <c r="O634">
        <v>4.6300000000000001E-2</v>
      </c>
      <c r="P634">
        <v>9.64</v>
      </c>
      <c r="Q634">
        <v>0.435</v>
      </c>
      <c r="R634">
        <v>128.16999999999999</v>
      </c>
      <c r="S634">
        <v>94.78</v>
      </c>
      <c r="T634">
        <v>112.52</v>
      </c>
      <c r="U634">
        <v>115000</v>
      </c>
      <c r="V634">
        <v>10465000</v>
      </c>
    </row>
    <row r="635" spans="1:22" x14ac:dyDescent="0.25">
      <c r="A635" t="s">
        <v>78</v>
      </c>
      <c r="B635" t="s">
        <v>79</v>
      </c>
      <c r="C635" t="str">
        <f t="shared" si="18"/>
        <v>2025</v>
      </c>
      <c r="D635" t="str">
        <f t="shared" si="19"/>
        <v>01</v>
      </c>
      <c r="E635" t="s">
        <v>80</v>
      </c>
      <c r="F635" t="s">
        <v>130</v>
      </c>
      <c r="G635" t="s">
        <v>128</v>
      </c>
      <c r="H635" t="s">
        <v>129</v>
      </c>
      <c r="I635" t="s">
        <v>26</v>
      </c>
      <c r="J635">
        <v>952</v>
      </c>
      <c r="K635">
        <v>14252.44</v>
      </c>
      <c r="L635">
        <v>1062.6199999999999</v>
      </c>
      <c r="M635">
        <v>7.46E-2</v>
      </c>
      <c r="N635">
        <v>1183.02</v>
      </c>
      <c r="O635">
        <v>8.3000000000000004E-2</v>
      </c>
      <c r="P635">
        <v>10.07</v>
      </c>
      <c r="Q635">
        <v>0.62</v>
      </c>
      <c r="R635">
        <v>84.48</v>
      </c>
      <c r="S635">
        <v>85.13</v>
      </c>
      <c r="T635">
        <v>101.54</v>
      </c>
      <c r="U635">
        <v>115000</v>
      </c>
      <c r="V635">
        <v>10465000</v>
      </c>
    </row>
    <row r="636" spans="1:22" x14ac:dyDescent="0.25">
      <c r="A636" t="s">
        <v>81</v>
      </c>
      <c r="B636" t="s">
        <v>82</v>
      </c>
      <c r="C636" t="str">
        <f t="shared" si="18"/>
        <v>2025</v>
      </c>
      <c r="D636" t="str">
        <f t="shared" si="19"/>
        <v>04</v>
      </c>
      <c r="E636" t="s">
        <v>80</v>
      </c>
      <c r="F636" t="s">
        <v>130</v>
      </c>
      <c r="G636" t="s">
        <v>128</v>
      </c>
      <c r="H636" t="s">
        <v>129</v>
      </c>
      <c r="I636" t="s">
        <v>26</v>
      </c>
      <c r="J636">
        <v>952</v>
      </c>
      <c r="K636">
        <v>14427.1</v>
      </c>
      <c r="L636">
        <v>1260.3</v>
      </c>
      <c r="M636">
        <v>8.7400000000000005E-2</v>
      </c>
      <c r="N636">
        <v>679.63</v>
      </c>
      <c r="O636">
        <v>4.7100000000000003E-2</v>
      </c>
      <c r="P636">
        <v>8.94</v>
      </c>
      <c r="Q636">
        <v>0.624</v>
      </c>
      <c r="R636">
        <v>265.89999999999998</v>
      </c>
      <c r="S636">
        <v>101.77</v>
      </c>
      <c r="T636">
        <v>120.43</v>
      </c>
      <c r="U636">
        <v>115000</v>
      </c>
      <c r="V636">
        <v>10465000</v>
      </c>
    </row>
    <row r="637" spans="1:22" x14ac:dyDescent="0.25">
      <c r="A637" t="s">
        <v>83</v>
      </c>
      <c r="B637" t="s">
        <v>84</v>
      </c>
      <c r="C637" t="str">
        <f t="shared" si="18"/>
        <v>2025</v>
      </c>
      <c r="D637" t="str">
        <f t="shared" si="19"/>
        <v>07</v>
      </c>
      <c r="E637" t="s">
        <v>80</v>
      </c>
      <c r="F637" t="s">
        <v>130</v>
      </c>
      <c r="G637" t="s">
        <v>128</v>
      </c>
      <c r="H637" t="s">
        <v>129</v>
      </c>
      <c r="I637" t="s">
        <v>26</v>
      </c>
      <c r="J637">
        <v>952</v>
      </c>
      <c r="K637">
        <v>13688.01</v>
      </c>
      <c r="L637">
        <v>1174.3800000000001</v>
      </c>
      <c r="M637">
        <v>8.5800000000000001E-2</v>
      </c>
      <c r="N637">
        <v>1506.23</v>
      </c>
      <c r="O637">
        <v>0.11</v>
      </c>
      <c r="P637">
        <v>10.19</v>
      </c>
      <c r="Q637">
        <v>0.28199999999999997</v>
      </c>
      <c r="R637">
        <v>81.760000000000005</v>
      </c>
      <c r="S637">
        <v>93.24</v>
      </c>
      <c r="T637">
        <v>112.22</v>
      </c>
      <c r="U637">
        <v>115000</v>
      </c>
      <c r="V637">
        <v>10465000</v>
      </c>
    </row>
    <row r="638" spans="1:22" x14ac:dyDescent="0.25">
      <c r="A638" t="s">
        <v>85</v>
      </c>
      <c r="B638" t="s">
        <v>86</v>
      </c>
      <c r="C638" t="str">
        <f t="shared" si="18"/>
        <v>2025</v>
      </c>
      <c r="D638" t="str">
        <f t="shared" si="19"/>
        <v>10</v>
      </c>
      <c r="E638" t="s">
        <v>80</v>
      </c>
      <c r="F638" t="s">
        <v>130</v>
      </c>
      <c r="G638" t="s">
        <v>128</v>
      </c>
      <c r="H638" t="s">
        <v>129</v>
      </c>
      <c r="I638" t="s">
        <v>26</v>
      </c>
      <c r="J638">
        <v>952</v>
      </c>
      <c r="K638">
        <v>13522.8</v>
      </c>
      <c r="L638">
        <v>1168.6300000000001</v>
      </c>
      <c r="M638">
        <v>8.6400000000000005E-2</v>
      </c>
      <c r="N638">
        <v>766.72</v>
      </c>
      <c r="O638">
        <v>5.67E-2</v>
      </c>
      <c r="P638">
        <v>10.06</v>
      </c>
      <c r="Q638">
        <v>0.42100000000000004</v>
      </c>
      <c r="R638">
        <v>118.46</v>
      </c>
      <c r="S638">
        <v>99.34</v>
      </c>
      <c r="T638">
        <v>111.67</v>
      </c>
      <c r="U638">
        <v>115000</v>
      </c>
      <c r="V638">
        <v>10465000</v>
      </c>
    </row>
    <row r="639" spans="1:22" x14ac:dyDescent="0.25">
      <c r="A639" t="s">
        <v>87</v>
      </c>
      <c r="B639" t="s">
        <v>88</v>
      </c>
      <c r="C639" t="str">
        <f t="shared" si="18"/>
        <v>2026</v>
      </c>
      <c r="D639" t="str">
        <f t="shared" si="19"/>
        <v>01</v>
      </c>
      <c r="E639" t="s">
        <v>89</v>
      </c>
      <c r="F639" t="s">
        <v>130</v>
      </c>
      <c r="G639" t="s">
        <v>128</v>
      </c>
      <c r="H639" t="s">
        <v>129</v>
      </c>
      <c r="I639" t="s">
        <v>26</v>
      </c>
      <c r="J639">
        <v>952</v>
      </c>
      <c r="K639">
        <v>9881.52</v>
      </c>
      <c r="L639">
        <v>1536.26</v>
      </c>
      <c r="M639">
        <v>0.1555</v>
      </c>
      <c r="N639">
        <v>-1364.06</v>
      </c>
      <c r="O639">
        <v>-0.13800000000000001</v>
      </c>
      <c r="P639">
        <v>6.56</v>
      </c>
      <c r="Q639">
        <v>9.6000000000000002E-2</v>
      </c>
      <c r="R639">
        <v>93.08</v>
      </c>
      <c r="S639">
        <v>130.88</v>
      </c>
      <c r="T639">
        <v>146.80000000000001</v>
      </c>
      <c r="U639">
        <v>115000</v>
      </c>
      <c r="V639">
        <v>10465000</v>
      </c>
    </row>
    <row r="640" spans="1:22" x14ac:dyDescent="0.25">
      <c r="A640" t="s">
        <v>20</v>
      </c>
      <c r="B640" t="s">
        <v>21</v>
      </c>
      <c r="C640" t="str">
        <f t="shared" si="18"/>
        <v>2019</v>
      </c>
      <c r="D640" t="str">
        <f t="shared" si="19"/>
        <v>01</v>
      </c>
      <c r="E640" t="s">
        <v>22</v>
      </c>
      <c r="F640" t="s">
        <v>131</v>
      </c>
      <c r="G640" t="s">
        <v>128</v>
      </c>
      <c r="H640" t="s">
        <v>129</v>
      </c>
      <c r="I640" t="s">
        <v>26</v>
      </c>
      <c r="J640">
        <v>997</v>
      </c>
      <c r="K640">
        <v>14117.82</v>
      </c>
      <c r="L640">
        <v>848.35</v>
      </c>
      <c r="M640">
        <v>6.0100000000000001E-2</v>
      </c>
      <c r="N640">
        <v>1354.26</v>
      </c>
      <c r="O640">
        <v>9.5899999999999999E-2</v>
      </c>
      <c r="P640">
        <v>9.5399999999999991</v>
      </c>
      <c r="Q640">
        <v>0.51300000000000001</v>
      </c>
      <c r="R640">
        <v>0</v>
      </c>
      <c r="S640">
        <v>63</v>
      </c>
      <c r="T640">
        <v>74.58</v>
      </c>
      <c r="U640">
        <v>125000</v>
      </c>
      <c r="V640">
        <v>11375000</v>
      </c>
    </row>
    <row r="641" spans="1:22" x14ac:dyDescent="0.25">
      <c r="A641" t="s">
        <v>27</v>
      </c>
      <c r="B641" t="s">
        <v>28</v>
      </c>
      <c r="C641" t="str">
        <f t="shared" si="18"/>
        <v>2019</v>
      </c>
      <c r="D641" t="str">
        <f t="shared" si="19"/>
        <v>04</v>
      </c>
      <c r="E641" t="s">
        <v>22</v>
      </c>
      <c r="F641" t="s">
        <v>131</v>
      </c>
      <c r="G641" t="s">
        <v>128</v>
      </c>
      <c r="H641" t="s">
        <v>129</v>
      </c>
      <c r="I641" t="s">
        <v>26</v>
      </c>
      <c r="J641">
        <v>997</v>
      </c>
      <c r="K641">
        <v>14242.45</v>
      </c>
      <c r="L641">
        <v>834.24</v>
      </c>
      <c r="M641">
        <v>5.8600000000000006E-2</v>
      </c>
      <c r="N641">
        <v>1874.07</v>
      </c>
      <c r="O641">
        <v>0.13159999999999999</v>
      </c>
      <c r="P641">
        <v>9.5399999999999991</v>
      </c>
      <c r="Q641">
        <v>0.13300000000000001</v>
      </c>
      <c r="R641">
        <v>0</v>
      </c>
      <c r="S641">
        <v>64.790000000000006</v>
      </c>
      <c r="T641">
        <v>73.34</v>
      </c>
      <c r="U641">
        <v>125000</v>
      </c>
      <c r="V641">
        <v>11375000</v>
      </c>
    </row>
    <row r="642" spans="1:22" x14ac:dyDescent="0.25">
      <c r="A642" t="s">
        <v>29</v>
      </c>
      <c r="B642" t="s">
        <v>30</v>
      </c>
      <c r="C642" t="str">
        <f t="shared" si="18"/>
        <v>2019</v>
      </c>
      <c r="D642" t="str">
        <f t="shared" si="19"/>
        <v>07</v>
      </c>
      <c r="E642" t="s">
        <v>22</v>
      </c>
      <c r="F642" t="s">
        <v>131</v>
      </c>
      <c r="G642" t="s">
        <v>128</v>
      </c>
      <c r="H642" t="s">
        <v>129</v>
      </c>
      <c r="I642" t="s">
        <v>26</v>
      </c>
      <c r="J642">
        <v>997</v>
      </c>
      <c r="K642">
        <v>14554.03</v>
      </c>
      <c r="L642">
        <v>808.88</v>
      </c>
      <c r="M642">
        <v>5.5599999999999997E-2</v>
      </c>
      <c r="N642">
        <v>1926.02</v>
      </c>
      <c r="O642">
        <v>0.1323</v>
      </c>
      <c r="P642">
        <v>9.67</v>
      </c>
      <c r="Q642">
        <v>0.56899999999999995</v>
      </c>
      <c r="R642">
        <v>0</v>
      </c>
      <c r="S642">
        <v>60.46</v>
      </c>
      <c r="T642">
        <v>71.11</v>
      </c>
      <c r="U642">
        <v>125000</v>
      </c>
      <c r="V642">
        <v>11375000</v>
      </c>
    </row>
    <row r="643" spans="1:22" x14ac:dyDescent="0.25">
      <c r="A643" t="s">
        <v>31</v>
      </c>
      <c r="B643" t="s">
        <v>32</v>
      </c>
      <c r="C643" t="str">
        <f t="shared" ref="C643:C706" si="20">LEFT(B643,4)</f>
        <v>2019</v>
      </c>
      <c r="D643" t="str">
        <f t="shared" ref="D643:D706" si="21">RIGHT(B643,2)</f>
        <v>10</v>
      </c>
      <c r="E643" t="s">
        <v>22</v>
      </c>
      <c r="F643" t="s">
        <v>131</v>
      </c>
      <c r="G643" t="s">
        <v>128</v>
      </c>
      <c r="H643" t="s">
        <v>129</v>
      </c>
      <c r="I643" t="s">
        <v>26</v>
      </c>
      <c r="J643">
        <v>997</v>
      </c>
      <c r="K643">
        <v>14076.28</v>
      </c>
      <c r="L643">
        <v>875.53</v>
      </c>
      <c r="M643">
        <v>6.2199999999999998E-2</v>
      </c>
      <c r="N643">
        <v>1849.57</v>
      </c>
      <c r="O643">
        <v>0.13140000000000002</v>
      </c>
      <c r="P643">
        <v>9.26</v>
      </c>
      <c r="Q643">
        <v>0.60799999999999998</v>
      </c>
      <c r="R643">
        <v>0</v>
      </c>
      <c r="S643">
        <v>65.66</v>
      </c>
      <c r="T643">
        <v>76.97</v>
      </c>
      <c r="U643">
        <v>125000</v>
      </c>
      <c r="V643">
        <v>11375000</v>
      </c>
    </row>
    <row r="644" spans="1:22" x14ac:dyDescent="0.25">
      <c r="A644" t="s">
        <v>33</v>
      </c>
      <c r="B644" t="s">
        <v>34</v>
      </c>
      <c r="C644" t="str">
        <f t="shared" si="20"/>
        <v>2020</v>
      </c>
      <c r="D644" t="str">
        <f t="shared" si="21"/>
        <v>01</v>
      </c>
      <c r="E644" t="s">
        <v>22</v>
      </c>
      <c r="F644" t="s">
        <v>131</v>
      </c>
      <c r="G644" t="s">
        <v>128</v>
      </c>
      <c r="H644" t="s">
        <v>129</v>
      </c>
      <c r="I644" t="s">
        <v>26</v>
      </c>
      <c r="J644">
        <v>997</v>
      </c>
      <c r="K644">
        <v>15407.56</v>
      </c>
      <c r="L644">
        <v>857.45</v>
      </c>
      <c r="M644">
        <v>5.57E-2</v>
      </c>
      <c r="N644">
        <v>1633.15</v>
      </c>
      <c r="O644">
        <v>0.106</v>
      </c>
      <c r="P644">
        <v>10.63</v>
      </c>
      <c r="Q644">
        <v>0.13699999999999998</v>
      </c>
      <c r="R644">
        <v>0</v>
      </c>
      <c r="S644">
        <v>66.66</v>
      </c>
      <c r="T644">
        <v>75.38</v>
      </c>
      <c r="U644">
        <v>125000</v>
      </c>
      <c r="V644">
        <v>11375000</v>
      </c>
    </row>
    <row r="645" spans="1:22" x14ac:dyDescent="0.25">
      <c r="A645" t="s">
        <v>35</v>
      </c>
      <c r="B645" t="s">
        <v>36</v>
      </c>
      <c r="C645" t="str">
        <f t="shared" si="20"/>
        <v>2020</v>
      </c>
      <c r="D645" t="str">
        <f t="shared" si="21"/>
        <v>04</v>
      </c>
      <c r="E645" t="s">
        <v>37</v>
      </c>
      <c r="F645" t="s">
        <v>131</v>
      </c>
      <c r="G645" t="s">
        <v>128</v>
      </c>
      <c r="H645" t="s">
        <v>129</v>
      </c>
      <c r="I645" t="s">
        <v>26</v>
      </c>
      <c r="J645">
        <v>997</v>
      </c>
      <c r="K645">
        <v>3923.21</v>
      </c>
      <c r="L645">
        <v>269.47000000000003</v>
      </c>
      <c r="M645">
        <v>6.8699999999999997E-2</v>
      </c>
      <c r="N645">
        <v>-1226.5</v>
      </c>
      <c r="O645">
        <v>-0.31259999999999999</v>
      </c>
      <c r="P645">
        <v>2.5299999999999998</v>
      </c>
      <c r="Q645">
        <v>0.32899999999999996</v>
      </c>
      <c r="R645">
        <v>0</v>
      </c>
      <c r="S645">
        <v>20.57</v>
      </c>
      <c r="T645">
        <v>23.69</v>
      </c>
      <c r="U645">
        <v>125000</v>
      </c>
      <c r="V645">
        <v>11375000</v>
      </c>
    </row>
    <row r="646" spans="1:22" x14ac:dyDescent="0.25">
      <c r="A646" t="s">
        <v>38</v>
      </c>
      <c r="B646" t="s">
        <v>39</v>
      </c>
      <c r="C646" t="str">
        <f t="shared" si="20"/>
        <v>2020</v>
      </c>
      <c r="D646" t="str">
        <f t="shared" si="21"/>
        <v>07</v>
      </c>
      <c r="E646" t="s">
        <v>37</v>
      </c>
      <c r="F646" t="s">
        <v>131</v>
      </c>
      <c r="G646" t="s">
        <v>128</v>
      </c>
      <c r="H646" t="s">
        <v>129</v>
      </c>
      <c r="I646" t="s">
        <v>26</v>
      </c>
      <c r="J646">
        <v>997</v>
      </c>
      <c r="K646">
        <v>4869.5200000000004</v>
      </c>
      <c r="L646">
        <v>573.64</v>
      </c>
      <c r="M646">
        <v>0.11779999999999999</v>
      </c>
      <c r="N646">
        <v>-2184.8200000000002</v>
      </c>
      <c r="O646">
        <v>-0.44869999999999999</v>
      </c>
      <c r="P646">
        <v>3.19</v>
      </c>
      <c r="Q646">
        <v>0.217</v>
      </c>
      <c r="R646">
        <v>0</v>
      </c>
      <c r="S646">
        <v>44.05</v>
      </c>
      <c r="T646">
        <v>50.43</v>
      </c>
      <c r="U646">
        <v>125000</v>
      </c>
      <c r="V646">
        <v>11375000</v>
      </c>
    </row>
    <row r="647" spans="1:22" x14ac:dyDescent="0.25">
      <c r="A647" t="s">
        <v>40</v>
      </c>
      <c r="B647" t="s">
        <v>41</v>
      </c>
      <c r="C647" t="str">
        <f t="shared" si="20"/>
        <v>2020</v>
      </c>
      <c r="D647" t="str">
        <f t="shared" si="21"/>
        <v>10</v>
      </c>
      <c r="E647" t="s">
        <v>37</v>
      </c>
      <c r="F647" t="s">
        <v>131</v>
      </c>
      <c r="G647" t="s">
        <v>128</v>
      </c>
      <c r="H647" t="s">
        <v>129</v>
      </c>
      <c r="I647" t="s">
        <v>26</v>
      </c>
      <c r="J647">
        <v>997</v>
      </c>
      <c r="K647">
        <v>4962.57</v>
      </c>
      <c r="L647">
        <v>519.38</v>
      </c>
      <c r="M647">
        <v>0.1047</v>
      </c>
      <c r="N647">
        <v>-1024.9000000000001</v>
      </c>
      <c r="O647">
        <v>-0.20649999999999999</v>
      </c>
      <c r="P647">
        <v>3.37</v>
      </c>
      <c r="Q647">
        <v>0.35799999999999998</v>
      </c>
      <c r="R647">
        <v>0</v>
      </c>
      <c r="S647">
        <v>39.950000000000003</v>
      </c>
      <c r="T647">
        <v>45.66</v>
      </c>
      <c r="U647">
        <v>125000</v>
      </c>
      <c r="V647">
        <v>11375000</v>
      </c>
    </row>
    <row r="648" spans="1:22" x14ac:dyDescent="0.25">
      <c r="A648" t="s">
        <v>42</v>
      </c>
      <c r="B648" t="s">
        <v>43</v>
      </c>
      <c r="C648" t="str">
        <f t="shared" si="20"/>
        <v>2021</v>
      </c>
      <c r="D648" t="str">
        <f t="shared" si="21"/>
        <v>01</v>
      </c>
      <c r="E648" t="s">
        <v>37</v>
      </c>
      <c r="F648" t="s">
        <v>131</v>
      </c>
      <c r="G648" t="s">
        <v>128</v>
      </c>
      <c r="H648" t="s">
        <v>129</v>
      </c>
      <c r="I648" t="s">
        <v>26</v>
      </c>
      <c r="J648">
        <v>997</v>
      </c>
      <c r="K648">
        <v>4794.32</v>
      </c>
      <c r="L648">
        <v>975.63</v>
      </c>
      <c r="M648">
        <v>0.20350000000000001</v>
      </c>
      <c r="N648">
        <v>-2149.6</v>
      </c>
      <c r="O648">
        <v>-0.44840000000000002</v>
      </c>
      <c r="P648">
        <v>3.24</v>
      </c>
      <c r="Q648">
        <v>1.6E-2</v>
      </c>
      <c r="R648">
        <v>0</v>
      </c>
      <c r="S648">
        <v>75.489999999999995</v>
      </c>
      <c r="T648">
        <v>85.77</v>
      </c>
      <c r="U648">
        <v>125000</v>
      </c>
      <c r="V648">
        <v>11375000</v>
      </c>
    </row>
    <row r="649" spans="1:22" x14ac:dyDescent="0.25">
      <c r="A649" t="s">
        <v>44</v>
      </c>
      <c r="B649" t="s">
        <v>45</v>
      </c>
      <c r="C649" t="str">
        <f t="shared" si="20"/>
        <v>2021</v>
      </c>
      <c r="D649" t="str">
        <f t="shared" si="21"/>
        <v>04</v>
      </c>
      <c r="E649" t="s">
        <v>37</v>
      </c>
      <c r="F649" t="s">
        <v>131</v>
      </c>
      <c r="G649" t="s">
        <v>128</v>
      </c>
      <c r="H649" t="s">
        <v>129</v>
      </c>
      <c r="I649" t="s">
        <v>26</v>
      </c>
      <c r="J649">
        <v>997</v>
      </c>
      <c r="K649">
        <v>4982.67</v>
      </c>
      <c r="L649">
        <v>1034.21</v>
      </c>
      <c r="M649">
        <v>0.20760000000000001</v>
      </c>
      <c r="N649">
        <v>-1843.39</v>
      </c>
      <c r="O649">
        <v>-0.37</v>
      </c>
      <c r="P649">
        <v>3.34</v>
      </c>
      <c r="Q649">
        <v>0.27100000000000002</v>
      </c>
      <c r="R649">
        <v>2.87</v>
      </c>
      <c r="S649">
        <v>76.83</v>
      </c>
      <c r="T649">
        <v>90.92</v>
      </c>
      <c r="U649">
        <v>125000</v>
      </c>
      <c r="V649">
        <v>11375000</v>
      </c>
    </row>
    <row r="650" spans="1:22" x14ac:dyDescent="0.25">
      <c r="A650" t="s">
        <v>46</v>
      </c>
      <c r="B650" t="s">
        <v>47</v>
      </c>
      <c r="C650" t="str">
        <f t="shared" si="20"/>
        <v>2021</v>
      </c>
      <c r="D650" t="str">
        <f t="shared" si="21"/>
        <v>07</v>
      </c>
      <c r="E650" t="s">
        <v>48</v>
      </c>
      <c r="F650" t="s">
        <v>131</v>
      </c>
      <c r="G650" t="s">
        <v>128</v>
      </c>
      <c r="H650" t="s">
        <v>129</v>
      </c>
      <c r="I650" t="s">
        <v>26</v>
      </c>
      <c r="J650">
        <v>997</v>
      </c>
      <c r="K650">
        <v>12016.51</v>
      </c>
      <c r="L650">
        <v>1022.84</v>
      </c>
      <c r="M650">
        <v>8.5099999999999995E-2</v>
      </c>
      <c r="N650">
        <v>961.04</v>
      </c>
      <c r="O650">
        <v>0.08</v>
      </c>
      <c r="P650">
        <v>7.32</v>
      </c>
      <c r="Q650">
        <v>0.47600000000000003</v>
      </c>
      <c r="R650">
        <v>0</v>
      </c>
      <c r="S650">
        <v>78.97</v>
      </c>
      <c r="T650">
        <v>89.92</v>
      </c>
      <c r="U650">
        <v>125000</v>
      </c>
      <c r="V650">
        <v>11375000</v>
      </c>
    </row>
    <row r="651" spans="1:22" x14ac:dyDescent="0.25">
      <c r="A651" t="s">
        <v>49</v>
      </c>
      <c r="B651" t="s">
        <v>50</v>
      </c>
      <c r="C651" t="str">
        <f t="shared" si="20"/>
        <v>2021</v>
      </c>
      <c r="D651" t="str">
        <f t="shared" si="21"/>
        <v>10</v>
      </c>
      <c r="E651" t="s">
        <v>48</v>
      </c>
      <c r="F651" t="s">
        <v>131</v>
      </c>
      <c r="G651" t="s">
        <v>128</v>
      </c>
      <c r="H651" t="s">
        <v>129</v>
      </c>
      <c r="I651" t="s">
        <v>26</v>
      </c>
      <c r="J651">
        <v>997</v>
      </c>
      <c r="K651">
        <v>10492.2</v>
      </c>
      <c r="L651">
        <v>1185.8399999999999</v>
      </c>
      <c r="M651">
        <v>0.113</v>
      </c>
      <c r="N651">
        <v>-334.92</v>
      </c>
      <c r="O651">
        <v>-3.1899999999999998E-2</v>
      </c>
      <c r="P651">
        <v>6.87</v>
      </c>
      <c r="Q651">
        <v>0.64900000000000002</v>
      </c>
      <c r="R651">
        <v>121.86</v>
      </c>
      <c r="S651">
        <v>86.82</v>
      </c>
      <c r="T651">
        <v>104.25</v>
      </c>
      <c r="U651">
        <v>125000</v>
      </c>
      <c r="V651">
        <v>11375000</v>
      </c>
    </row>
    <row r="652" spans="1:22" x14ac:dyDescent="0.25">
      <c r="A652" t="s">
        <v>51</v>
      </c>
      <c r="B652" t="s">
        <v>52</v>
      </c>
      <c r="C652" t="str">
        <f t="shared" si="20"/>
        <v>2022</v>
      </c>
      <c r="D652" t="str">
        <f t="shared" si="21"/>
        <v>01</v>
      </c>
      <c r="E652" t="s">
        <v>48</v>
      </c>
      <c r="F652" t="s">
        <v>131</v>
      </c>
      <c r="G652" t="s">
        <v>128</v>
      </c>
      <c r="H652" t="s">
        <v>129</v>
      </c>
      <c r="I652" t="s">
        <v>26</v>
      </c>
      <c r="J652">
        <v>997</v>
      </c>
      <c r="K652">
        <v>10461.950000000001</v>
      </c>
      <c r="L652">
        <v>926.38</v>
      </c>
      <c r="M652">
        <v>8.8499999999999995E-2</v>
      </c>
      <c r="N652">
        <v>-145.82</v>
      </c>
      <c r="O652">
        <v>-1.3899999999999999E-2</v>
      </c>
      <c r="P652">
        <v>7.46</v>
      </c>
      <c r="Q652">
        <v>0.56399999999999995</v>
      </c>
      <c r="R652">
        <v>0</v>
      </c>
      <c r="S652">
        <v>72.010000000000005</v>
      </c>
      <c r="T652">
        <v>81.44</v>
      </c>
      <c r="U652">
        <v>125000</v>
      </c>
      <c r="V652">
        <v>11375000</v>
      </c>
    </row>
    <row r="653" spans="1:22" x14ac:dyDescent="0.25">
      <c r="A653" t="s">
        <v>53</v>
      </c>
      <c r="B653" t="s">
        <v>54</v>
      </c>
      <c r="C653" t="str">
        <f t="shared" si="20"/>
        <v>2022</v>
      </c>
      <c r="D653" t="str">
        <f t="shared" si="21"/>
        <v>04</v>
      </c>
      <c r="E653" t="s">
        <v>55</v>
      </c>
      <c r="F653" t="s">
        <v>131</v>
      </c>
      <c r="G653" t="s">
        <v>128</v>
      </c>
      <c r="H653" t="s">
        <v>129</v>
      </c>
      <c r="I653" t="s">
        <v>26</v>
      </c>
      <c r="J653">
        <v>997</v>
      </c>
      <c r="K653">
        <v>14032.72</v>
      </c>
      <c r="L653">
        <v>1497.29</v>
      </c>
      <c r="M653">
        <v>0.1067</v>
      </c>
      <c r="N653">
        <v>615.95000000000005</v>
      </c>
      <c r="O653">
        <v>4.3899999999999995E-2</v>
      </c>
      <c r="P653">
        <v>9.64</v>
      </c>
      <c r="Q653">
        <v>0.13300000000000001</v>
      </c>
      <c r="R653">
        <v>92.11</v>
      </c>
      <c r="S653">
        <v>109.53</v>
      </c>
      <c r="T653">
        <v>131.63</v>
      </c>
      <c r="U653">
        <v>125000</v>
      </c>
      <c r="V653">
        <v>11375000</v>
      </c>
    </row>
    <row r="654" spans="1:22" x14ac:dyDescent="0.25">
      <c r="A654" t="s">
        <v>56</v>
      </c>
      <c r="B654" t="s">
        <v>57</v>
      </c>
      <c r="C654" t="str">
        <f t="shared" si="20"/>
        <v>2022</v>
      </c>
      <c r="D654" t="str">
        <f t="shared" si="21"/>
        <v>07</v>
      </c>
      <c r="E654" t="s">
        <v>55</v>
      </c>
      <c r="F654" t="s">
        <v>131</v>
      </c>
      <c r="G654" t="s">
        <v>128</v>
      </c>
      <c r="H654" t="s">
        <v>129</v>
      </c>
      <c r="I654" t="s">
        <v>26</v>
      </c>
      <c r="J654">
        <v>997</v>
      </c>
      <c r="K654">
        <v>14452.69</v>
      </c>
      <c r="L654">
        <v>1074.82</v>
      </c>
      <c r="M654">
        <v>7.4400000000000008E-2</v>
      </c>
      <c r="N654">
        <v>452.48</v>
      </c>
      <c r="O654">
        <v>3.1300000000000001E-2</v>
      </c>
      <c r="P654">
        <v>9.26</v>
      </c>
      <c r="Q654">
        <v>0.193</v>
      </c>
      <c r="R654">
        <v>10.35</v>
      </c>
      <c r="S654">
        <v>80.69</v>
      </c>
      <c r="T654">
        <v>94.49</v>
      </c>
      <c r="U654">
        <v>125000</v>
      </c>
      <c r="V654">
        <v>11375000</v>
      </c>
    </row>
    <row r="655" spans="1:22" x14ac:dyDescent="0.25">
      <c r="A655" t="s">
        <v>58</v>
      </c>
      <c r="B655" t="s">
        <v>59</v>
      </c>
      <c r="C655" t="str">
        <f t="shared" si="20"/>
        <v>2022</v>
      </c>
      <c r="D655" t="str">
        <f t="shared" si="21"/>
        <v>10</v>
      </c>
      <c r="E655" t="s">
        <v>55</v>
      </c>
      <c r="F655" t="s">
        <v>131</v>
      </c>
      <c r="G655" t="s">
        <v>128</v>
      </c>
      <c r="H655" t="s">
        <v>129</v>
      </c>
      <c r="I655" t="s">
        <v>26</v>
      </c>
      <c r="J655">
        <v>997</v>
      </c>
      <c r="K655">
        <v>15065.21</v>
      </c>
      <c r="L655">
        <v>1200.74</v>
      </c>
      <c r="M655">
        <v>7.9699999999999993E-2</v>
      </c>
      <c r="N655">
        <v>641.5</v>
      </c>
      <c r="O655">
        <v>4.2599999999999999E-2</v>
      </c>
      <c r="P655">
        <v>10.85</v>
      </c>
      <c r="Q655">
        <v>0.63900000000000001</v>
      </c>
      <c r="R655">
        <v>132.65</v>
      </c>
      <c r="S655">
        <v>93.25</v>
      </c>
      <c r="T655">
        <v>105.56</v>
      </c>
      <c r="U655">
        <v>125000</v>
      </c>
      <c r="V655">
        <v>11375000</v>
      </c>
    </row>
    <row r="656" spans="1:22" x14ac:dyDescent="0.25">
      <c r="A656" t="s">
        <v>60</v>
      </c>
      <c r="B656" t="s">
        <v>61</v>
      </c>
      <c r="C656" t="str">
        <f t="shared" si="20"/>
        <v>2023</v>
      </c>
      <c r="D656" t="str">
        <f t="shared" si="21"/>
        <v>01</v>
      </c>
      <c r="E656" t="s">
        <v>62</v>
      </c>
      <c r="F656" t="s">
        <v>131</v>
      </c>
      <c r="G656" t="s">
        <v>128</v>
      </c>
      <c r="H656" t="s">
        <v>129</v>
      </c>
      <c r="I656" t="s">
        <v>26</v>
      </c>
      <c r="J656">
        <v>997</v>
      </c>
      <c r="K656">
        <v>13927.8</v>
      </c>
      <c r="L656">
        <v>1104.8499999999999</v>
      </c>
      <c r="M656">
        <v>7.9299999999999995E-2</v>
      </c>
      <c r="N656">
        <v>1110.95</v>
      </c>
      <c r="O656">
        <v>7.980000000000001E-2</v>
      </c>
      <c r="P656">
        <v>8.92</v>
      </c>
      <c r="Q656">
        <v>0.22899999999999998</v>
      </c>
      <c r="R656">
        <v>20.04</v>
      </c>
      <c r="S656">
        <v>84.29</v>
      </c>
      <c r="T656">
        <v>97.13</v>
      </c>
      <c r="U656">
        <v>125000</v>
      </c>
      <c r="V656">
        <v>11375000</v>
      </c>
    </row>
    <row r="657" spans="1:22" x14ac:dyDescent="0.25">
      <c r="A657" t="s">
        <v>63</v>
      </c>
      <c r="B657" t="s">
        <v>64</v>
      </c>
      <c r="C657" t="str">
        <f t="shared" si="20"/>
        <v>2023</v>
      </c>
      <c r="D657" t="str">
        <f t="shared" si="21"/>
        <v>04</v>
      </c>
      <c r="E657" t="s">
        <v>62</v>
      </c>
      <c r="F657" t="s">
        <v>131</v>
      </c>
      <c r="G657" t="s">
        <v>128</v>
      </c>
      <c r="H657" t="s">
        <v>129</v>
      </c>
      <c r="I657" t="s">
        <v>26</v>
      </c>
      <c r="J657">
        <v>997</v>
      </c>
      <c r="K657">
        <v>14275.19</v>
      </c>
      <c r="L657">
        <v>1159.9100000000001</v>
      </c>
      <c r="M657">
        <v>8.1300000000000011E-2</v>
      </c>
      <c r="N657">
        <v>1117.27</v>
      </c>
      <c r="O657">
        <v>7.8299999999999995E-2</v>
      </c>
      <c r="P657">
        <v>8.84</v>
      </c>
      <c r="Q657">
        <v>0.182</v>
      </c>
      <c r="R657">
        <v>28.08</v>
      </c>
      <c r="S657">
        <v>88.18</v>
      </c>
      <c r="T657">
        <v>101.97</v>
      </c>
      <c r="U657">
        <v>125000</v>
      </c>
      <c r="V657">
        <v>11375000</v>
      </c>
    </row>
    <row r="658" spans="1:22" x14ac:dyDescent="0.25">
      <c r="A658" t="s">
        <v>65</v>
      </c>
      <c r="B658" t="s">
        <v>66</v>
      </c>
      <c r="C658" t="str">
        <f t="shared" si="20"/>
        <v>2023</v>
      </c>
      <c r="D658" t="str">
        <f t="shared" si="21"/>
        <v>07</v>
      </c>
      <c r="E658" t="s">
        <v>62</v>
      </c>
      <c r="F658" t="s">
        <v>131</v>
      </c>
      <c r="G658" t="s">
        <v>128</v>
      </c>
      <c r="H658" t="s">
        <v>129</v>
      </c>
      <c r="I658" t="s">
        <v>26</v>
      </c>
      <c r="J658">
        <v>997</v>
      </c>
      <c r="K658">
        <v>15184.64</v>
      </c>
      <c r="L658">
        <v>1109.29</v>
      </c>
      <c r="M658">
        <v>7.3099999999999998E-2</v>
      </c>
      <c r="N658">
        <v>1129.81</v>
      </c>
      <c r="O658">
        <v>7.4400000000000008E-2</v>
      </c>
      <c r="P658">
        <v>9.5399999999999991</v>
      </c>
      <c r="Q658">
        <v>7.0000000000000007E-2</v>
      </c>
      <c r="R658">
        <v>6.49</v>
      </c>
      <c r="S658">
        <v>85.16</v>
      </c>
      <c r="T658">
        <v>97.52</v>
      </c>
      <c r="U658">
        <v>125000</v>
      </c>
      <c r="V658">
        <v>11375000</v>
      </c>
    </row>
    <row r="659" spans="1:22" x14ac:dyDescent="0.25">
      <c r="A659" t="s">
        <v>67</v>
      </c>
      <c r="B659" t="s">
        <v>68</v>
      </c>
      <c r="C659" t="str">
        <f t="shared" si="20"/>
        <v>2023</v>
      </c>
      <c r="D659" t="str">
        <f t="shared" si="21"/>
        <v>10</v>
      </c>
      <c r="E659" t="s">
        <v>69</v>
      </c>
      <c r="F659" t="s">
        <v>131</v>
      </c>
      <c r="G659" t="s">
        <v>128</v>
      </c>
      <c r="H659" t="s">
        <v>129</v>
      </c>
      <c r="I659" t="s">
        <v>26</v>
      </c>
      <c r="J659">
        <v>997</v>
      </c>
      <c r="K659">
        <v>14430.99</v>
      </c>
      <c r="L659">
        <v>1023.29</v>
      </c>
      <c r="M659">
        <v>7.0900000000000005E-2</v>
      </c>
      <c r="N659">
        <v>1505.74</v>
      </c>
      <c r="O659">
        <v>0.1043</v>
      </c>
      <c r="P659">
        <v>9.15</v>
      </c>
      <c r="Q659">
        <v>0.27500000000000002</v>
      </c>
      <c r="R659">
        <v>0</v>
      </c>
      <c r="S659">
        <v>78.33</v>
      </c>
      <c r="T659">
        <v>89.96</v>
      </c>
      <c r="U659">
        <v>125000</v>
      </c>
      <c r="V659">
        <v>11375000</v>
      </c>
    </row>
    <row r="660" spans="1:22" x14ac:dyDescent="0.25">
      <c r="A660" t="s">
        <v>70</v>
      </c>
      <c r="B660" t="s">
        <v>71</v>
      </c>
      <c r="C660" t="str">
        <f t="shared" si="20"/>
        <v>2024</v>
      </c>
      <c r="D660" t="str">
        <f t="shared" si="21"/>
        <v>01</v>
      </c>
      <c r="E660" t="s">
        <v>69</v>
      </c>
      <c r="F660" t="s">
        <v>131</v>
      </c>
      <c r="G660" t="s">
        <v>128</v>
      </c>
      <c r="H660" t="s">
        <v>129</v>
      </c>
      <c r="I660" t="s">
        <v>26</v>
      </c>
      <c r="J660">
        <v>997</v>
      </c>
      <c r="K660">
        <v>15570.27</v>
      </c>
      <c r="L660">
        <v>1126.3499999999999</v>
      </c>
      <c r="M660">
        <v>7.2300000000000003E-2</v>
      </c>
      <c r="N660">
        <v>1482.85</v>
      </c>
      <c r="O660">
        <v>9.5199999999999993E-2</v>
      </c>
      <c r="P660">
        <v>10.45</v>
      </c>
      <c r="Q660">
        <v>0.26600000000000001</v>
      </c>
      <c r="R660">
        <v>30.03</v>
      </c>
      <c r="S660">
        <v>84.61</v>
      </c>
      <c r="T660">
        <v>99.02</v>
      </c>
      <c r="U660">
        <v>125000</v>
      </c>
      <c r="V660">
        <v>11375000</v>
      </c>
    </row>
    <row r="661" spans="1:22" x14ac:dyDescent="0.25">
      <c r="A661" t="s">
        <v>72</v>
      </c>
      <c r="B661" t="s">
        <v>73</v>
      </c>
      <c r="C661" t="str">
        <f t="shared" si="20"/>
        <v>2024</v>
      </c>
      <c r="D661" t="str">
        <f t="shared" si="21"/>
        <v>04</v>
      </c>
      <c r="E661" t="s">
        <v>69</v>
      </c>
      <c r="F661" t="s">
        <v>131</v>
      </c>
      <c r="G661" t="s">
        <v>128</v>
      </c>
      <c r="H661" t="s">
        <v>129</v>
      </c>
      <c r="I661" t="s">
        <v>26</v>
      </c>
      <c r="J661">
        <v>997</v>
      </c>
      <c r="K661">
        <v>14824.64</v>
      </c>
      <c r="L661">
        <v>1157.75</v>
      </c>
      <c r="M661">
        <v>7.8100000000000003E-2</v>
      </c>
      <c r="N661">
        <v>2052.5700000000002</v>
      </c>
      <c r="O661">
        <v>0.13849999999999998</v>
      </c>
      <c r="P661">
        <v>9.4</v>
      </c>
      <c r="Q661">
        <v>0.61199999999999999</v>
      </c>
      <c r="R661">
        <v>92.74</v>
      </c>
      <c r="S661">
        <v>84.06</v>
      </c>
      <c r="T661">
        <v>101.78</v>
      </c>
      <c r="U661">
        <v>125000</v>
      </c>
      <c r="V661">
        <v>11375000</v>
      </c>
    </row>
    <row r="662" spans="1:22" x14ac:dyDescent="0.25">
      <c r="A662" t="s">
        <v>74</v>
      </c>
      <c r="B662" t="s">
        <v>75</v>
      </c>
      <c r="C662" t="str">
        <f t="shared" si="20"/>
        <v>2024</v>
      </c>
      <c r="D662" t="str">
        <f t="shared" si="21"/>
        <v>07</v>
      </c>
      <c r="E662" t="s">
        <v>69</v>
      </c>
      <c r="F662" t="s">
        <v>131</v>
      </c>
      <c r="G662" t="s">
        <v>128</v>
      </c>
      <c r="H662" t="s">
        <v>129</v>
      </c>
      <c r="I662" t="s">
        <v>26</v>
      </c>
      <c r="J662">
        <v>997</v>
      </c>
      <c r="K662">
        <v>14056</v>
      </c>
      <c r="L662">
        <v>1069.02</v>
      </c>
      <c r="M662">
        <v>7.6100000000000001E-2</v>
      </c>
      <c r="N662">
        <v>718.41</v>
      </c>
      <c r="O662">
        <v>5.1100000000000007E-2</v>
      </c>
      <c r="P662">
        <v>9.67</v>
      </c>
      <c r="Q662">
        <v>0.16300000000000001</v>
      </c>
      <c r="R662">
        <v>7.71</v>
      </c>
      <c r="S662">
        <v>80.400000000000006</v>
      </c>
      <c r="T662">
        <v>93.98</v>
      </c>
      <c r="U662">
        <v>125000</v>
      </c>
      <c r="V662">
        <v>11375000</v>
      </c>
    </row>
    <row r="663" spans="1:22" x14ac:dyDescent="0.25">
      <c r="A663" t="s">
        <v>76</v>
      </c>
      <c r="B663" t="s">
        <v>77</v>
      </c>
      <c r="C663" t="str">
        <f t="shared" si="20"/>
        <v>2024</v>
      </c>
      <c r="D663" t="str">
        <f t="shared" si="21"/>
        <v>10</v>
      </c>
      <c r="E663" t="s">
        <v>69</v>
      </c>
      <c r="F663" t="s">
        <v>131</v>
      </c>
      <c r="G663" t="s">
        <v>128</v>
      </c>
      <c r="H663" t="s">
        <v>129</v>
      </c>
      <c r="I663" t="s">
        <v>26</v>
      </c>
      <c r="J663">
        <v>997</v>
      </c>
      <c r="K663">
        <v>14612.68</v>
      </c>
      <c r="L663">
        <v>1279.9100000000001</v>
      </c>
      <c r="M663">
        <v>8.7599999999999997E-2</v>
      </c>
      <c r="N663">
        <v>1650.73</v>
      </c>
      <c r="O663">
        <v>0.113</v>
      </c>
      <c r="P663">
        <v>9.81</v>
      </c>
      <c r="Q663">
        <v>9.0000000000000011E-3</v>
      </c>
      <c r="R663">
        <v>2.88</v>
      </c>
      <c r="S663">
        <v>94.78</v>
      </c>
      <c r="T663">
        <v>112.52</v>
      </c>
      <c r="U663">
        <v>125000</v>
      </c>
      <c r="V663">
        <v>11375000</v>
      </c>
    </row>
    <row r="664" spans="1:22" x14ac:dyDescent="0.25">
      <c r="A664" t="s">
        <v>78</v>
      </c>
      <c r="B664" t="s">
        <v>79</v>
      </c>
      <c r="C664" t="str">
        <f t="shared" si="20"/>
        <v>2025</v>
      </c>
      <c r="D664" t="str">
        <f t="shared" si="21"/>
        <v>01</v>
      </c>
      <c r="E664" t="s">
        <v>80</v>
      </c>
      <c r="F664" t="s">
        <v>131</v>
      </c>
      <c r="G664" t="s">
        <v>128</v>
      </c>
      <c r="H664" t="s">
        <v>129</v>
      </c>
      <c r="I664" t="s">
        <v>26</v>
      </c>
      <c r="J664">
        <v>997</v>
      </c>
      <c r="K664">
        <v>14351.51</v>
      </c>
      <c r="L664">
        <v>1155.02</v>
      </c>
      <c r="M664">
        <v>8.0500000000000002E-2</v>
      </c>
      <c r="N664">
        <v>666.9</v>
      </c>
      <c r="O664">
        <v>4.6500000000000007E-2</v>
      </c>
      <c r="P664">
        <v>10.39</v>
      </c>
      <c r="Q664">
        <v>0.51700000000000002</v>
      </c>
      <c r="R664">
        <v>76.569999999999993</v>
      </c>
      <c r="S664">
        <v>85.13</v>
      </c>
      <c r="T664">
        <v>101.54</v>
      </c>
      <c r="U664">
        <v>125000</v>
      </c>
      <c r="V664">
        <v>11375000</v>
      </c>
    </row>
    <row r="665" spans="1:22" x14ac:dyDescent="0.25">
      <c r="A665" t="s">
        <v>81</v>
      </c>
      <c r="B665" t="s">
        <v>82</v>
      </c>
      <c r="C665" t="str">
        <f t="shared" si="20"/>
        <v>2025</v>
      </c>
      <c r="D665" t="str">
        <f t="shared" si="21"/>
        <v>04</v>
      </c>
      <c r="E665" t="s">
        <v>80</v>
      </c>
      <c r="F665" t="s">
        <v>131</v>
      </c>
      <c r="G665" t="s">
        <v>128</v>
      </c>
      <c r="H665" t="s">
        <v>129</v>
      </c>
      <c r="I665" t="s">
        <v>26</v>
      </c>
      <c r="J665">
        <v>997</v>
      </c>
      <c r="K665">
        <v>15629.54</v>
      </c>
      <c r="L665">
        <v>1369.89</v>
      </c>
      <c r="M665">
        <v>8.7599999999999997E-2</v>
      </c>
      <c r="N665">
        <v>2008.57</v>
      </c>
      <c r="O665">
        <v>0.1285</v>
      </c>
      <c r="P665">
        <v>10.37</v>
      </c>
      <c r="Q665">
        <v>0.57399999999999995</v>
      </c>
      <c r="R665">
        <v>265.86</v>
      </c>
      <c r="S665">
        <v>101.77</v>
      </c>
      <c r="T665">
        <v>120.43</v>
      </c>
      <c r="U665">
        <v>125000</v>
      </c>
      <c r="V665">
        <v>11375000</v>
      </c>
    </row>
    <row r="666" spans="1:22" x14ac:dyDescent="0.25">
      <c r="A666" t="s">
        <v>83</v>
      </c>
      <c r="B666" t="s">
        <v>84</v>
      </c>
      <c r="C666" t="str">
        <f t="shared" si="20"/>
        <v>2025</v>
      </c>
      <c r="D666" t="str">
        <f t="shared" si="21"/>
        <v>07</v>
      </c>
      <c r="E666" t="s">
        <v>80</v>
      </c>
      <c r="F666" t="s">
        <v>131</v>
      </c>
      <c r="G666" t="s">
        <v>128</v>
      </c>
      <c r="H666" t="s">
        <v>129</v>
      </c>
      <c r="I666" t="s">
        <v>26</v>
      </c>
      <c r="J666">
        <v>997</v>
      </c>
      <c r="K666">
        <v>15042.55</v>
      </c>
      <c r="L666">
        <v>1276.5</v>
      </c>
      <c r="M666">
        <v>8.4900000000000003E-2</v>
      </c>
      <c r="N666">
        <v>1390.83</v>
      </c>
      <c r="O666">
        <v>9.2499999999999999E-2</v>
      </c>
      <c r="P666">
        <v>9.77</v>
      </c>
      <c r="Q666">
        <v>0.44299999999999995</v>
      </c>
      <c r="R666">
        <v>139.61000000000001</v>
      </c>
      <c r="S666">
        <v>93.24</v>
      </c>
      <c r="T666">
        <v>112.22</v>
      </c>
      <c r="U666">
        <v>125000</v>
      </c>
      <c r="V666">
        <v>11375000</v>
      </c>
    </row>
    <row r="667" spans="1:22" x14ac:dyDescent="0.25">
      <c r="A667" t="s">
        <v>85</v>
      </c>
      <c r="B667" t="s">
        <v>86</v>
      </c>
      <c r="C667" t="str">
        <f t="shared" si="20"/>
        <v>2025</v>
      </c>
      <c r="D667" t="str">
        <f t="shared" si="21"/>
        <v>10</v>
      </c>
      <c r="E667" t="s">
        <v>80</v>
      </c>
      <c r="F667" t="s">
        <v>131</v>
      </c>
      <c r="G667" t="s">
        <v>128</v>
      </c>
      <c r="H667" t="s">
        <v>129</v>
      </c>
      <c r="I667" t="s">
        <v>26</v>
      </c>
      <c r="J667">
        <v>997</v>
      </c>
      <c r="K667">
        <v>14887.4</v>
      </c>
      <c r="L667">
        <v>1270.25</v>
      </c>
      <c r="M667">
        <v>8.5299999999999987E-2</v>
      </c>
      <c r="N667">
        <v>1509.86</v>
      </c>
      <c r="O667">
        <v>0.1014</v>
      </c>
      <c r="P667">
        <v>9.73</v>
      </c>
      <c r="Q667">
        <v>0.48100000000000004</v>
      </c>
      <c r="R667">
        <v>147.11000000000001</v>
      </c>
      <c r="S667">
        <v>99.34</v>
      </c>
      <c r="T667">
        <v>111.67</v>
      </c>
      <c r="U667">
        <v>125000</v>
      </c>
      <c r="V667">
        <v>11375000</v>
      </c>
    </row>
    <row r="668" spans="1:22" x14ac:dyDescent="0.25">
      <c r="A668" t="s">
        <v>87</v>
      </c>
      <c r="B668" t="s">
        <v>88</v>
      </c>
      <c r="C668" t="str">
        <f t="shared" si="20"/>
        <v>2026</v>
      </c>
      <c r="D668" t="str">
        <f t="shared" si="21"/>
        <v>01</v>
      </c>
      <c r="E668" t="s">
        <v>89</v>
      </c>
      <c r="F668" t="s">
        <v>131</v>
      </c>
      <c r="G668" t="s">
        <v>128</v>
      </c>
      <c r="H668" t="s">
        <v>129</v>
      </c>
      <c r="I668" t="s">
        <v>26</v>
      </c>
      <c r="J668">
        <v>997</v>
      </c>
      <c r="K668">
        <v>10385.89</v>
      </c>
      <c r="L668">
        <v>1669.85</v>
      </c>
      <c r="M668">
        <v>0.16079999999999997</v>
      </c>
      <c r="N668">
        <v>-1088.1099999999999</v>
      </c>
      <c r="O668">
        <v>-0.1048</v>
      </c>
      <c r="P668">
        <v>7.25</v>
      </c>
      <c r="Q668">
        <v>0.33500000000000002</v>
      </c>
      <c r="R668">
        <v>353.04</v>
      </c>
      <c r="S668">
        <v>130.88</v>
      </c>
      <c r="T668">
        <v>146.80000000000001</v>
      </c>
      <c r="U668">
        <v>125000</v>
      </c>
      <c r="V668">
        <v>11375000</v>
      </c>
    </row>
    <row r="669" spans="1:22" x14ac:dyDescent="0.25">
      <c r="A669" t="s">
        <v>20</v>
      </c>
      <c r="B669" t="s">
        <v>21</v>
      </c>
      <c r="C669" t="str">
        <f t="shared" si="20"/>
        <v>2019</v>
      </c>
      <c r="D669" t="str">
        <f t="shared" si="21"/>
        <v>01</v>
      </c>
      <c r="E669" t="s">
        <v>22</v>
      </c>
      <c r="F669" t="s">
        <v>132</v>
      </c>
      <c r="G669" t="s">
        <v>133</v>
      </c>
      <c r="H669" t="s">
        <v>134</v>
      </c>
      <c r="I669" t="s">
        <v>26</v>
      </c>
      <c r="J669">
        <v>138</v>
      </c>
      <c r="K669">
        <v>1230.28</v>
      </c>
      <c r="L669">
        <v>149.31</v>
      </c>
      <c r="M669">
        <v>0.12140000000000001</v>
      </c>
      <c r="N669">
        <v>113.1</v>
      </c>
      <c r="O669">
        <v>9.1899999999999996E-2</v>
      </c>
      <c r="P669">
        <v>1.22</v>
      </c>
      <c r="Q669">
        <v>0.185</v>
      </c>
      <c r="R669">
        <v>0</v>
      </c>
      <c r="S669">
        <v>63</v>
      </c>
      <c r="T669">
        <v>74.58</v>
      </c>
      <c r="U669">
        <v>22000</v>
      </c>
      <c r="V669">
        <v>2002000</v>
      </c>
    </row>
    <row r="670" spans="1:22" x14ac:dyDescent="0.25">
      <c r="A670" t="s">
        <v>27</v>
      </c>
      <c r="B670" t="s">
        <v>28</v>
      </c>
      <c r="C670" t="str">
        <f t="shared" si="20"/>
        <v>2019</v>
      </c>
      <c r="D670" t="str">
        <f t="shared" si="21"/>
        <v>04</v>
      </c>
      <c r="E670" t="s">
        <v>22</v>
      </c>
      <c r="F670" t="s">
        <v>132</v>
      </c>
      <c r="G670" t="s">
        <v>133</v>
      </c>
      <c r="H670" t="s">
        <v>134</v>
      </c>
      <c r="I670" t="s">
        <v>26</v>
      </c>
      <c r="J670">
        <v>138</v>
      </c>
      <c r="K670">
        <v>1255.96</v>
      </c>
      <c r="L670">
        <v>146.83000000000001</v>
      </c>
      <c r="M670">
        <v>0.11689999999999999</v>
      </c>
      <c r="N670">
        <v>134.79</v>
      </c>
      <c r="O670">
        <v>0.10730000000000001</v>
      </c>
      <c r="P670">
        <v>1.26</v>
      </c>
      <c r="Q670">
        <v>0.10300000000000001</v>
      </c>
      <c r="R670">
        <v>0</v>
      </c>
      <c r="S670">
        <v>64.790000000000006</v>
      </c>
      <c r="T670">
        <v>73.34</v>
      </c>
      <c r="U670">
        <v>22000</v>
      </c>
      <c r="V670">
        <v>2002000</v>
      </c>
    </row>
    <row r="671" spans="1:22" x14ac:dyDescent="0.25">
      <c r="A671" t="s">
        <v>29</v>
      </c>
      <c r="B671" t="s">
        <v>30</v>
      </c>
      <c r="C671" t="str">
        <f t="shared" si="20"/>
        <v>2019</v>
      </c>
      <c r="D671" t="str">
        <f t="shared" si="21"/>
        <v>07</v>
      </c>
      <c r="E671" t="s">
        <v>22</v>
      </c>
      <c r="F671" t="s">
        <v>132</v>
      </c>
      <c r="G671" t="s">
        <v>133</v>
      </c>
      <c r="H671" t="s">
        <v>134</v>
      </c>
      <c r="I671" t="s">
        <v>26</v>
      </c>
      <c r="J671">
        <v>138</v>
      </c>
      <c r="K671">
        <v>1286.27</v>
      </c>
      <c r="L671">
        <v>142.36000000000001</v>
      </c>
      <c r="M671">
        <v>0.11070000000000001</v>
      </c>
      <c r="N671">
        <v>138.86000000000001</v>
      </c>
      <c r="O671">
        <v>0.10800000000000001</v>
      </c>
      <c r="P671">
        <v>1.26</v>
      </c>
      <c r="Q671">
        <v>2.2000000000000002E-2</v>
      </c>
      <c r="R671">
        <v>0</v>
      </c>
      <c r="S671">
        <v>60.46</v>
      </c>
      <c r="T671">
        <v>71.11</v>
      </c>
      <c r="U671">
        <v>22000</v>
      </c>
      <c r="V671">
        <v>2002000</v>
      </c>
    </row>
    <row r="672" spans="1:22" x14ac:dyDescent="0.25">
      <c r="A672" t="s">
        <v>31</v>
      </c>
      <c r="B672" t="s">
        <v>32</v>
      </c>
      <c r="C672" t="str">
        <f t="shared" si="20"/>
        <v>2019</v>
      </c>
      <c r="D672" t="str">
        <f t="shared" si="21"/>
        <v>10</v>
      </c>
      <c r="E672" t="s">
        <v>22</v>
      </c>
      <c r="F672" t="s">
        <v>132</v>
      </c>
      <c r="G672" t="s">
        <v>133</v>
      </c>
      <c r="H672" t="s">
        <v>134</v>
      </c>
      <c r="I672" t="s">
        <v>26</v>
      </c>
      <c r="J672">
        <v>138</v>
      </c>
      <c r="K672">
        <v>1211.4100000000001</v>
      </c>
      <c r="L672">
        <v>154.09</v>
      </c>
      <c r="M672">
        <v>0.12720000000000001</v>
      </c>
      <c r="N672">
        <v>157.61000000000001</v>
      </c>
      <c r="O672">
        <v>0.13009999999999999</v>
      </c>
      <c r="P672">
        <v>1.34</v>
      </c>
      <c r="Q672">
        <v>0.59899999999999998</v>
      </c>
      <c r="R672">
        <v>0</v>
      </c>
      <c r="S672">
        <v>65.66</v>
      </c>
      <c r="T672">
        <v>76.97</v>
      </c>
      <c r="U672">
        <v>22000</v>
      </c>
      <c r="V672">
        <v>2002000</v>
      </c>
    </row>
    <row r="673" spans="1:22" x14ac:dyDescent="0.25">
      <c r="A673" t="s">
        <v>33</v>
      </c>
      <c r="B673" t="s">
        <v>34</v>
      </c>
      <c r="C673" t="str">
        <f t="shared" si="20"/>
        <v>2020</v>
      </c>
      <c r="D673" t="str">
        <f t="shared" si="21"/>
        <v>01</v>
      </c>
      <c r="E673" t="s">
        <v>22</v>
      </c>
      <c r="F673" t="s">
        <v>132</v>
      </c>
      <c r="G673" t="s">
        <v>133</v>
      </c>
      <c r="H673" t="s">
        <v>134</v>
      </c>
      <c r="I673" t="s">
        <v>26</v>
      </c>
      <c r="J673">
        <v>138</v>
      </c>
      <c r="K673">
        <v>1295.52</v>
      </c>
      <c r="L673">
        <v>150.91</v>
      </c>
      <c r="M673">
        <v>0.11650000000000001</v>
      </c>
      <c r="N673">
        <v>176.87</v>
      </c>
      <c r="O673">
        <v>0.13650000000000001</v>
      </c>
      <c r="P673">
        <v>1.37</v>
      </c>
      <c r="Q673">
        <v>0.38900000000000001</v>
      </c>
      <c r="R673">
        <v>0</v>
      </c>
      <c r="S673">
        <v>66.66</v>
      </c>
      <c r="T673">
        <v>75.38</v>
      </c>
      <c r="U673">
        <v>22000</v>
      </c>
      <c r="V673">
        <v>2002000</v>
      </c>
    </row>
    <row r="674" spans="1:22" x14ac:dyDescent="0.25">
      <c r="A674" t="s">
        <v>35</v>
      </c>
      <c r="B674" t="s">
        <v>36</v>
      </c>
      <c r="C674" t="str">
        <f t="shared" si="20"/>
        <v>2020</v>
      </c>
      <c r="D674" t="str">
        <f t="shared" si="21"/>
        <v>04</v>
      </c>
      <c r="E674" t="s">
        <v>37</v>
      </c>
      <c r="F674" t="s">
        <v>132</v>
      </c>
      <c r="G674" t="s">
        <v>133</v>
      </c>
      <c r="H674" t="s">
        <v>134</v>
      </c>
      <c r="I674" t="s">
        <v>26</v>
      </c>
      <c r="J674">
        <v>138</v>
      </c>
      <c r="K674">
        <v>337.8</v>
      </c>
      <c r="L674">
        <v>47.43</v>
      </c>
      <c r="M674">
        <v>0.1404</v>
      </c>
      <c r="N674">
        <v>-151.74</v>
      </c>
      <c r="O674">
        <v>-0.44920000000000004</v>
      </c>
      <c r="P674">
        <v>0.33</v>
      </c>
      <c r="Q674">
        <v>9.4E-2</v>
      </c>
      <c r="R674">
        <v>0</v>
      </c>
      <c r="S674">
        <v>20.57</v>
      </c>
      <c r="T674">
        <v>23.69</v>
      </c>
      <c r="U674">
        <v>22000</v>
      </c>
      <c r="V674">
        <v>2002000</v>
      </c>
    </row>
    <row r="675" spans="1:22" x14ac:dyDescent="0.25">
      <c r="A675" t="s">
        <v>38</v>
      </c>
      <c r="B675" t="s">
        <v>39</v>
      </c>
      <c r="C675" t="str">
        <f t="shared" si="20"/>
        <v>2020</v>
      </c>
      <c r="D675" t="str">
        <f t="shared" si="21"/>
        <v>07</v>
      </c>
      <c r="E675" t="s">
        <v>37</v>
      </c>
      <c r="F675" t="s">
        <v>132</v>
      </c>
      <c r="G675" t="s">
        <v>133</v>
      </c>
      <c r="H675" t="s">
        <v>134</v>
      </c>
      <c r="I675" t="s">
        <v>26</v>
      </c>
      <c r="J675">
        <v>138</v>
      </c>
      <c r="K675">
        <v>315.27999999999997</v>
      </c>
      <c r="L675">
        <v>100.96</v>
      </c>
      <c r="M675">
        <v>0.32020000000000004</v>
      </c>
      <c r="N675">
        <v>-107.94</v>
      </c>
      <c r="O675">
        <v>-0.34240000000000004</v>
      </c>
      <c r="P675">
        <v>0.34</v>
      </c>
      <c r="Q675">
        <v>0.52</v>
      </c>
      <c r="R675">
        <v>0</v>
      </c>
      <c r="S675">
        <v>44.05</v>
      </c>
      <c r="T675">
        <v>50.43</v>
      </c>
      <c r="U675">
        <v>22000</v>
      </c>
      <c r="V675">
        <v>2002000</v>
      </c>
    </row>
    <row r="676" spans="1:22" x14ac:dyDescent="0.25">
      <c r="A676" t="s">
        <v>40</v>
      </c>
      <c r="B676" t="s">
        <v>41</v>
      </c>
      <c r="C676" t="str">
        <f t="shared" si="20"/>
        <v>2020</v>
      </c>
      <c r="D676" t="str">
        <f t="shared" si="21"/>
        <v>10</v>
      </c>
      <c r="E676" t="s">
        <v>37</v>
      </c>
      <c r="F676" t="s">
        <v>132</v>
      </c>
      <c r="G676" t="s">
        <v>133</v>
      </c>
      <c r="H676" t="s">
        <v>134</v>
      </c>
      <c r="I676" t="s">
        <v>26</v>
      </c>
      <c r="J676">
        <v>138</v>
      </c>
      <c r="K676">
        <v>393.06</v>
      </c>
      <c r="L676">
        <v>91.41</v>
      </c>
      <c r="M676">
        <v>0.23260000000000003</v>
      </c>
      <c r="N676">
        <v>-80.87</v>
      </c>
      <c r="O676">
        <v>-0.20569999999999999</v>
      </c>
      <c r="P676">
        <v>0.43</v>
      </c>
      <c r="Q676">
        <v>0.22600000000000001</v>
      </c>
      <c r="R676">
        <v>0</v>
      </c>
      <c r="S676">
        <v>39.950000000000003</v>
      </c>
      <c r="T676">
        <v>45.66</v>
      </c>
      <c r="U676">
        <v>22000</v>
      </c>
      <c r="V676">
        <v>2002000</v>
      </c>
    </row>
    <row r="677" spans="1:22" x14ac:dyDescent="0.25">
      <c r="A677" t="s">
        <v>42</v>
      </c>
      <c r="B677" t="s">
        <v>43</v>
      </c>
      <c r="C677" t="str">
        <f t="shared" si="20"/>
        <v>2021</v>
      </c>
      <c r="D677" t="str">
        <f t="shared" si="21"/>
        <v>01</v>
      </c>
      <c r="E677" t="s">
        <v>37</v>
      </c>
      <c r="F677" t="s">
        <v>132</v>
      </c>
      <c r="G677" t="s">
        <v>133</v>
      </c>
      <c r="H677" t="s">
        <v>134</v>
      </c>
      <c r="I677" t="s">
        <v>26</v>
      </c>
      <c r="J677">
        <v>138</v>
      </c>
      <c r="K677">
        <v>264.51</v>
      </c>
      <c r="L677">
        <v>171.71</v>
      </c>
      <c r="M677">
        <v>0.6492</v>
      </c>
      <c r="N677">
        <v>-96.5</v>
      </c>
      <c r="O677">
        <v>-0.36479999999999996</v>
      </c>
      <c r="P677">
        <v>0.27</v>
      </c>
      <c r="Q677">
        <v>0.255</v>
      </c>
      <c r="R677">
        <v>0</v>
      </c>
      <c r="S677">
        <v>75.489999999999995</v>
      </c>
      <c r="T677">
        <v>85.77</v>
      </c>
      <c r="U677">
        <v>22000</v>
      </c>
      <c r="V677">
        <v>2002000</v>
      </c>
    </row>
    <row r="678" spans="1:22" x14ac:dyDescent="0.25">
      <c r="A678" t="s">
        <v>44</v>
      </c>
      <c r="B678" t="s">
        <v>45</v>
      </c>
      <c r="C678" t="str">
        <f t="shared" si="20"/>
        <v>2021</v>
      </c>
      <c r="D678" t="str">
        <f t="shared" si="21"/>
        <v>04</v>
      </c>
      <c r="E678" t="s">
        <v>37</v>
      </c>
      <c r="F678" t="s">
        <v>132</v>
      </c>
      <c r="G678" t="s">
        <v>133</v>
      </c>
      <c r="H678" t="s">
        <v>134</v>
      </c>
      <c r="I678" t="s">
        <v>26</v>
      </c>
      <c r="J678">
        <v>138</v>
      </c>
      <c r="K678">
        <v>206.22</v>
      </c>
      <c r="L678">
        <v>182.02</v>
      </c>
      <c r="M678">
        <v>0.88269999999999993</v>
      </c>
      <c r="N678">
        <v>-60.14</v>
      </c>
      <c r="O678">
        <v>-0.29160000000000003</v>
      </c>
      <c r="P678">
        <v>0.22</v>
      </c>
      <c r="Q678">
        <v>0.3</v>
      </c>
      <c r="R678">
        <v>0.56000000000000005</v>
      </c>
      <c r="S678">
        <v>76.83</v>
      </c>
      <c r="T678">
        <v>90.92</v>
      </c>
      <c r="U678">
        <v>22000</v>
      </c>
      <c r="V678">
        <v>2002000</v>
      </c>
    </row>
    <row r="679" spans="1:22" x14ac:dyDescent="0.25">
      <c r="A679" t="s">
        <v>46</v>
      </c>
      <c r="B679" t="s">
        <v>47</v>
      </c>
      <c r="C679" t="str">
        <f t="shared" si="20"/>
        <v>2021</v>
      </c>
      <c r="D679" t="str">
        <f t="shared" si="21"/>
        <v>07</v>
      </c>
      <c r="E679" t="s">
        <v>48</v>
      </c>
      <c r="F679" t="s">
        <v>132</v>
      </c>
      <c r="G679" t="s">
        <v>133</v>
      </c>
      <c r="H679" t="s">
        <v>134</v>
      </c>
      <c r="I679" t="s">
        <v>26</v>
      </c>
      <c r="J679">
        <v>138</v>
      </c>
      <c r="K679">
        <v>832.78</v>
      </c>
      <c r="L679">
        <v>180.02</v>
      </c>
      <c r="M679">
        <v>0.2162</v>
      </c>
      <c r="N679">
        <v>-31.55</v>
      </c>
      <c r="O679">
        <v>-3.7900000000000003E-2</v>
      </c>
      <c r="P679">
        <v>0.9</v>
      </c>
      <c r="Q679">
        <v>2.4E-2</v>
      </c>
      <c r="R679">
        <v>0</v>
      </c>
      <c r="S679">
        <v>78.97</v>
      </c>
      <c r="T679">
        <v>89.92</v>
      </c>
      <c r="U679">
        <v>22000</v>
      </c>
      <c r="V679">
        <v>2002000</v>
      </c>
    </row>
    <row r="680" spans="1:22" x14ac:dyDescent="0.25">
      <c r="A680" t="s">
        <v>49</v>
      </c>
      <c r="B680" t="s">
        <v>50</v>
      </c>
      <c r="C680" t="str">
        <f t="shared" si="20"/>
        <v>2021</v>
      </c>
      <c r="D680" t="str">
        <f t="shared" si="21"/>
        <v>10</v>
      </c>
      <c r="E680" t="s">
        <v>48</v>
      </c>
      <c r="F680" t="s">
        <v>132</v>
      </c>
      <c r="G680" t="s">
        <v>133</v>
      </c>
      <c r="H680" t="s">
        <v>134</v>
      </c>
      <c r="I680" t="s">
        <v>26</v>
      </c>
      <c r="J680">
        <v>138</v>
      </c>
      <c r="K680">
        <v>993.7</v>
      </c>
      <c r="L680">
        <v>208.71</v>
      </c>
      <c r="M680">
        <v>0.21</v>
      </c>
      <c r="N680">
        <v>78.69</v>
      </c>
      <c r="O680">
        <v>7.9199999999999993E-2</v>
      </c>
      <c r="P680">
        <v>1.08</v>
      </c>
      <c r="Q680">
        <v>0.47</v>
      </c>
      <c r="R680">
        <v>15.53</v>
      </c>
      <c r="S680">
        <v>86.82</v>
      </c>
      <c r="T680">
        <v>104.25</v>
      </c>
      <c r="U680">
        <v>22000</v>
      </c>
      <c r="V680">
        <v>2002000</v>
      </c>
    </row>
    <row r="681" spans="1:22" x14ac:dyDescent="0.25">
      <c r="A681" t="s">
        <v>51</v>
      </c>
      <c r="B681" t="s">
        <v>52</v>
      </c>
      <c r="C681" t="str">
        <f t="shared" si="20"/>
        <v>2022</v>
      </c>
      <c r="D681" t="str">
        <f t="shared" si="21"/>
        <v>01</v>
      </c>
      <c r="E681" t="s">
        <v>48</v>
      </c>
      <c r="F681" t="s">
        <v>132</v>
      </c>
      <c r="G681" t="s">
        <v>133</v>
      </c>
      <c r="H681" t="s">
        <v>134</v>
      </c>
      <c r="I681" t="s">
        <v>26</v>
      </c>
      <c r="J681">
        <v>138</v>
      </c>
      <c r="K681">
        <v>922.23</v>
      </c>
      <c r="L681">
        <v>163.04</v>
      </c>
      <c r="M681">
        <v>0.17679999999999998</v>
      </c>
      <c r="N681">
        <v>33.9</v>
      </c>
      <c r="O681">
        <v>3.6799999999999999E-2</v>
      </c>
      <c r="P681">
        <v>1.02</v>
      </c>
      <c r="Q681">
        <v>0.53600000000000003</v>
      </c>
      <c r="R681">
        <v>0</v>
      </c>
      <c r="S681">
        <v>72.010000000000005</v>
      </c>
      <c r="T681">
        <v>81.44</v>
      </c>
      <c r="U681">
        <v>22000</v>
      </c>
      <c r="V681">
        <v>2002000</v>
      </c>
    </row>
    <row r="682" spans="1:22" x14ac:dyDescent="0.25">
      <c r="A682" t="s">
        <v>53</v>
      </c>
      <c r="B682" t="s">
        <v>54</v>
      </c>
      <c r="C682" t="str">
        <f t="shared" si="20"/>
        <v>2022</v>
      </c>
      <c r="D682" t="str">
        <f t="shared" si="21"/>
        <v>04</v>
      </c>
      <c r="E682" t="s">
        <v>55</v>
      </c>
      <c r="F682" t="s">
        <v>132</v>
      </c>
      <c r="G682" t="s">
        <v>133</v>
      </c>
      <c r="H682" t="s">
        <v>134</v>
      </c>
      <c r="I682" t="s">
        <v>26</v>
      </c>
      <c r="J682">
        <v>138</v>
      </c>
      <c r="K682">
        <v>1302.83</v>
      </c>
      <c r="L682">
        <v>263.52</v>
      </c>
      <c r="M682">
        <v>0.20230000000000001</v>
      </c>
      <c r="N682">
        <v>104.13</v>
      </c>
      <c r="O682">
        <v>7.9899999999999999E-2</v>
      </c>
      <c r="P682">
        <v>1.41</v>
      </c>
      <c r="Q682">
        <v>0.315</v>
      </c>
      <c r="R682">
        <v>38.4</v>
      </c>
      <c r="S682">
        <v>109.53</v>
      </c>
      <c r="T682">
        <v>131.63</v>
      </c>
      <c r="U682">
        <v>22000</v>
      </c>
      <c r="V682">
        <v>2002000</v>
      </c>
    </row>
    <row r="683" spans="1:22" x14ac:dyDescent="0.25">
      <c r="A683" t="s">
        <v>56</v>
      </c>
      <c r="B683" t="s">
        <v>57</v>
      </c>
      <c r="C683" t="str">
        <f t="shared" si="20"/>
        <v>2022</v>
      </c>
      <c r="D683" t="str">
        <f t="shared" si="21"/>
        <v>07</v>
      </c>
      <c r="E683" t="s">
        <v>55</v>
      </c>
      <c r="F683" t="s">
        <v>132</v>
      </c>
      <c r="G683" t="s">
        <v>133</v>
      </c>
      <c r="H683" t="s">
        <v>134</v>
      </c>
      <c r="I683" t="s">
        <v>26</v>
      </c>
      <c r="J683">
        <v>138</v>
      </c>
      <c r="K683">
        <v>1239.68</v>
      </c>
      <c r="L683">
        <v>189.17</v>
      </c>
      <c r="M683">
        <v>0.15259999999999999</v>
      </c>
      <c r="N683">
        <v>63.67</v>
      </c>
      <c r="O683">
        <v>5.1399999999999994E-2</v>
      </c>
      <c r="P683">
        <v>1.27</v>
      </c>
      <c r="Q683">
        <v>2.2000000000000002E-2</v>
      </c>
      <c r="R683">
        <v>0.21</v>
      </c>
      <c r="S683">
        <v>80.69</v>
      </c>
      <c r="T683">
        <v>94.49</v>
      </c>
      <c r="U683">
        <v>22000</v>
      </c>
      <c r="V683">
        <v>2002000</v>
      </c>
    </row>
    <row r="684" spans="1:22" x14ac:dyDescent="0.25">
      <c r="A684" t="s">
        <v>58</v>
      </c>
      <c r="B684" t="s">
        <v>59</v>
      </c>
      <c r="C684" t="str">
        <f t="shared" si="20"/>
        <v>2022</v>
      </c>
      <c r="D684" t="str">
        <f t="shared" si="21"/>
        <v>10</v>
      </c>
      <c r="E684" t="s">
        <v>55</v>
      </c>
      <c r="F684" t="s">
        <v>132</v>
      </c>
      <c r="G684" t="s">
        <v>133</v>
      </c>
      <c r="H684" t="s">
        <v>134</v>
      </c>
      <c r="I684" t="s">
        <v>26</v>
      </c>
      <c r="J684">
        <v>138</v>
      </c>
      <c r="K684">
        <v>1292.77</v>
      </c>
      <c r="L684">
        <v>211.33</v>
      </c>
      <c r="M684">
        <v>0.16350000000000001</v>
      </c>
      <c r="N684">
        <v>119.03</v>
      </c>
      <c r="O684">
        <v>9.2100000000000015E-2</v>
      </c>
      <c r="P684">
        <v>1.5</v>
      </c>
      <c r="Q684">
        <v>0.377</v>
      </c>
      <c r="R684">
        <v>13.77</v>
      </c>
      <c r="S684">
        <v>93.25</v>
      </c>
      <c r="T684">
        <v>105.56</v>
      </c>
      <c r="U684">
        <v>22000</v>
      </c>
      <c r="V684">
        <v>2002000</v>
      </c>
    </row>
    <row r="685" spans="1:22" x14ac:dyDescent="0.25">
      <c r="A685" t="s">
        <v>60</v>
      </c>
      <c r="B685" t="s">
        <v>61</v>
      </c>
      <c r="C685" t="str">
        <f t="shared" si="20"/>
        <v>2023</v>
      </c>
      <c r="D685" t="str">
        <f t="shared" si="21"/>
        <v>01</v>
      </c>
      <c r="E685" t="s">
        <v>62</v>
      </c>
      <c r="F685" t="s">
        <v>132</v>
      </c>
      <c r="G685" t="s">
        <v>133</v>
      </c>
      <c r="H685" t="s">
        <v>134</v>
      </c>
      <c r="I685" t="s">
        <v>26</v>
      </c>
      <c r="J685">
        <v>138</v>
      </c>
      <c r="K685">
        <v>1202.8</v>
      </c>
      <c r="L685">
        <v>194.45</v>
      </c>
      <c r="M685">
        <v>0.16170000000000001</v>
      </c>
      <c r="N685">
        <v>153.80000000000001</v>
      </c>
      <c r="O685">
        <v>0.12789999999999999</v>
      </c>
      <c r="P685">
        <v>1.35</v>
      </c>
      <c r="Q685">
        <v>0.16300000000000001</v>
      </c>
      <c r="R685">
        <v>2.5099999999999998</v>
      </c>
      <c r="S685">
        <v>84.29</v>
      </c>
      <c r="T685">
        <v>97.13</v>
      </c>
      <c r="U685">
        <v>22000</v>
      </c>
      <c r="V685">
        <v>2002000</v>
      </c>
    </row>
    <row r="686" spans="1:22" x14ac:dyDescent="0.25">
      <c r="A686" t="s">
        <v>63</v>
      </c>
      <c r="B686" t="s">
        <v>64</v>
      </c>
      <c r="C686" t="str">
        <f t="shared" si="20"/>
        <v>2023</v>
      </c>
      <c r="D686" t="str">
        <f t="shared" si="21"/>
        <v>04</v>
      </c>
      <c r="E686" t="s">
        <v>62</v>
      </c>
      <c r="F686" t="s">
        <v>132</v>
      </c>
      <c r="G686" t="s">
        <v>133</v>
      </c>
      <c r="H686" t="s">
        <v>134</v>
      </c>
      <c r="I686" t="s">
        <v>26</v>
      </c>
      <c r="J686">
        <v>138</v>
      </c>
      <c r="K686">
        <v>1318.08</v>
      </c>
      <c r="L686">
        <v>204.14</v>
      </c>
      <c r="M686">
        <v>0.15490000000000001</v>
      </c>
      <c r="N686">
        <v>114.94</v>
      </c>
      <c r="O686">
        <v>8.72E-2</v>
      </c>
      <c r="P686">
        <v>1.52</v>
      </c>
      <c r="Q686">
        <v>0.161</v>
      </c>
      <c r="R686">
        <v>4.37</v>
      </c>
      <c r="S686">
        <v>88.18</v>
      </c>
      <c r="T686">
        <v>101.97</v>
      </c>
      <c r="U686">
        <v>22000</v>
      </c>
      <c r="V686">
        <v>2002000</v>
      </c>
    </row>
    <row r="687" spans="1:22" x14ac:dyDescent="0.25">
      <c r="A687" t="s">
        <v>65</v>
      </c>
      <c r="B687" t="s">
        <v>66</v>
      </c>
      <c r="C687" t="str">
        <f t="shared" si="20"/>
        <v>2023</v>
      </c>
      <c r="D687" t="str">
        <f t="shared" si="21"/>
        <v>07</v>
      </c>
      <c r="E687" t="s">
        <v>62</v>
      </c>
      <c r="F687" t="s">
        <v>132</v>
      </c>
      <c r="G687" t="s">
        <v>133</v>
      </c>
      <c r="H687" t="s">
        <v>134</v>
      </c>
      <c r="I687" t="s">
        <v>26</v>
      </c>
      <c r="J687">
        <v>138</v>
      </c>
      <c r="K687">
        <v>1317.65</v>
      </c>
      <c r="L687">
        <v>195.24</v>
      </c>
      <c r="M687">
        <v>0.1482</v>
      </c>
      <c r="N687">
        <v>146.51</v>
      </c>
      <c r="O687">
        <v>0.11119999999999999</v>
      </c>
      <c r="P687">
        <v>1.27</v>
      </c>
      <c r="Q687">
        <v>0.36599999999999999</v>
      </c>
      <c r="R687">
        <v>5.97</v>
      </c>
      <c r="S687">
        <v>85.16</v>
      </c>
      <c r="T687">
        <v>97.52</v>
      </c>
      <c r="U687">
        <v>22000</v>
      </c>
      <c r="V687">
        <v>2002000</v>
      </c>
    </row>
    <row r="688" spans="1:22" x14ac:dyDescent="0.25">
      <c r="A688" t="s">
        <v>67</v>
      </c>
      <c r="B688" t="s">
        <v>68</v>
      </c>
      <c r="C688" t="str">
        <f t="shared" si="20"/>
        <v>2023</v>
      </c>
      <c r="D688" t="str">
        <f t="shared" si="21"/>
        <v>10</v>
      </c>
      <c r="E688" t="s">
        <v>69</v>
      </c>
      <c r="F688" t="s">
        <v>132</v>
      </c>
      <c r="G688" t="s">
        <v>133</v>
      </c>
      <c r="H688" t="s">
        <v>134</v>
      </c>
      <c r="I688" t="s">
        <v>26</v>
      </c>
      <c r="J688">
        <v>138</v>
      </c>
      <c r="K688">
        <v>1303.77</v>
      </c>
      <c r="L688">
        <v>180.1</v>
      </c>
      <c r="M688">
        <v>0.1381</v>
      </c>
      <c r="N688">
        <v>72.540000000000006</v>
      </c>
      <c r="O688">
        <v>5.5599999999999997E-2</v>
      </c>
      <c r="P688">
        <v>1.41</v>
      </c>
      <c r="Q688">
        <v>0.19800000000000001</v>
      </c>
      <c r="R688">
        <v>0</v>
      </c>
      <c r="S688">
        <v>78.33</v>
      </c>
      <c r="T688">
        <v>89.96</v>
      </c>
      <c r="U688">
        <v>22000</v>
      </c>
      <c r="V688">
        <v>2002000</v>
      </c>
    </row>
    <row r="689" spans="1:22" x14ac:dyDescent="0.25">
      <c r="A689" t="s">
        <v>70</v>
      </c>
      <c r="B689" t="s">
        <v>71</v>
      </c>
      <c r="C689" t="str">
        <f t="shared" si="20"/>
        <v>2024</v>
      </c>
      <c r="D689" t="str">
        <f t="shared" si="21"/>
        <v>01</v>
      </c>
      <c r="E689" t="s">
        <v>69</v>
      </c>
      <c r="F689" t="s">
        <v>132</v>
      </c>
      <c r="G689" t="s">
        <v>133</v>
      </c>
      <c r="H689" t="s">
        <v>134</v>
      </c>
      <c r="I689" t="s">
        <v>26</v>
      </c>
      <c r="J689">
        <v>138</v>
      </c>
      <c r="K689">
        <v>1300.6400000000001</v>
      </c>
      <c r="L689">
        <v>198.24</v>
      </c>
      <c r="M689">
        <v>0.15240000000000001</v>
      </c>
      <c r="N689">
        <v>122.28</v>
      </c>
      <c r="O689">
        <v>9.4E-2</v>
      </c>
      <c r="P689">
        <v>1.43</v>
      </c>
      <c r="Q689">
        <v>4.7E-2</v>
      </c>
      <c r="R689">
        <v>0.93</v>
      </c>
      <c r="S689">
        <v>84.61</v>
      </c>
      <c r="T689">
        <v>99.02</v>
      </c>
      <c r="U689">
        <v>22000</v>
      </c>
      <c r="V689">
        <v>2002000</v>
      </c>
    </row>
    <row r="690" spans="1:22" x14ac:dyDescent="0.25">
      <c r="A690" t="s">
        <v>72</v>
      </c>
      <c r="B690" t="s">
        <v>73</v>
      </c>
      <c r="C690" t="str">
        <f t="shared" si="20"/>
        <v>2024</v>
      </c>
      <c r="D690" t="str">
        <f t="shared" si="21"/>
        <v>04</v>
      </c>
      <c r="E690" t="s">
        <v>69</v>
      </c>
      <c r="F690" t="s">
        <v>132</v>
      </c>
      <c r="G690" t="s">
        <v>133</v>
      </c>
      <c r="H690" t="s">
        <v>134</v>
      </c>
      <c r="I690" t="s">
        <v>26</v>
      </c>
      <c r="J690">
        <v>138</v>
      </c>
      <c r="K690">
        <v>1209.8900000000001</v>
      </c>
      <c r="L690">
        <v>203.76</v>
      </c>
      <c r="M690">
        <v>0.16839999999999999</v>
      </c>
      <c r="N690">
        <v>115.19</v>
      </c>
      <c r="O690">
        <v>9.5199999999999993E-2</v>
      </c>
      <c r="P690">
        <v>1.21</v>
      </c>
      <c r="Q690">
        <v>0.32400000000000001</v>
      </c>
      <c r="R690">
        <v>8.64</v>
      </c>
      <c r="S690">
        <v>84.06</v>
      </c>
      <c r="T690">
        <v>101.78</v>
      </c>
      <c r="U690">
        <v>22000</v>
      </c>
      <c r="V690">
        <v>2002000</v>
      </c>
    </row>
    <row r="691" spans="1:22" x14ac:dyDescent="0.25">
      <c r="A691" t="s">
        <v>74</v>
      </c>
      <c r="B691" t="s">
        <v>75</v>
      </c>
      <c r="C691" t="str">
        <f t="shared" si="20"/>
        <v>2024</v>
      </c>
      <c r="D691" t="str">
        <f t="shared" si="21"/>
        <v>07</v>
      </c>
      <c r="E691" t="s">
        <v>69</v>
      </c>
      <c r="F691" t="s">
        <v>132</v>
      </c>
      <c r="G691" t="s">
        <v>133</v>
      </c>
      <c r="H691" t="s">
        <v>134</v>
      </c>
      <c r="I691" t="s">
        <v>26</v>
      </c>
      <c r="J691">
        <v>138</v>
      </c>
      <c r="K691">
        <v>1299.6300000000001</v>
      </c>
      <c r="L691">
        <v>188.15</v>
      </c>
      <c r="M691">
        <v>0.14480000000000001</v>
      </c>
      <c r="N691">
        <v>157.22999999999999</v>
      </c>
      <c r="O691">
        <v>0.121</v>
      </c>
      <c r="P691">
        <v>1.29</v>
      </c>
      <c r="Q691">
        <v>0.48200000000000004</v>
      </c>
      <c r="R691">
        <v>4.01</v>
      </c>
      <c r="S691">
        <v>80.400000000000006</v>
      </c>
      <c r="T691">
        <v>93.98</v>
      </c>
      <c r="U691">
        <v>22000</v>
      </c>
      <c r="V691">
        <v>2002000</v>
      </c>
    </row>
    <row r="692" spans="1:22" x14ac:dyDescent="0.25">
      <c r="A692" t="s">
        <v>76</v>
      </c>
      <c r="B692" t="s">
        <v>77</v>
      </c>
      <c r="C692" t="str">
        <f t="shared" si="20"/>
        <v>2024</v>
      </c>
      <c r="D692" t="str">
        <f t="shared" si="21"/>
        <v>10</v>
      </c>
      <c r="E692" t="s">
        <v>69</v>
      </c>
      <c r="F692" t="s">
        <v>132</v>
      </c>
      <c r="G692" t="s">
        <v>133</v>
      </c>
      <c r="H692" t="s">
        <v>134</v>
      </c>
      <c r="I692" t="s">
        <v>26</v>
      </c>
      <c r="J692">
        <v>138</v>
      </c>
      <c r="K692">
        <v>1246.52</v>
      </c>
      <c r="L692">
        <v>225.27</v>
      </c>
      <c r="M692">
        <v>0.1807</v>
      </c>
      <c r="N692">
        <v>134.49</v>
      </c>
      <c r="O692">
        <v>0.1079</v>
      </c>
      <c r="P692">
        <v>1.24</v>
      </c>
      <c r="Q692">
        <v>0.33500000000000002</v>
      </c>
      <c r="R692">
        <v>18.88</v>
      </c>
      <c r="S692">
        <v>94.78</v>
      </c>
      <c r="T692">
        <v>112.52</v>
      </c>
      <c r="U692">
        <v>22000</v>
      </c>
      <c r="V692">
        <v>2002000</v>
      </c>
    </row>
    <row r="693" spans="1:22" x14ac:dyDescent="0.25">
      <c r="A693" t="s">
        <v>78</v>
      </c>
      <c r="B693" t="s">
        <v>79</v>
      </c>
      <c r="C693" t="str">
        <f t="shared" si="20"/>
        <v>2025</v>
      </c>
      <c r="D693" t="str">
        <f t="shared" si="21"/>
        <v>01</v>
      </c>
      <c r="E693" t="s">
        <v>80</v>
      </c>
      <c r="F693" t="s">
        <v>132</v>
      </c>
      <c r="G693" t="s">
        <v>133</v>
      </c>
      <c r="H693" t="s">
        <v>134</v>
      </c>
      <c r="I693" t="s">
        <v>26</v>
      </c>
      <c r="J693">
        <v>138</v>
      </c>
      <c r="K693">
        <v>1323.6</v>
      </c>
      <c r="L693">
        <v>203.28</v>
      </c>
      <c r="M693">
        <v>0.15359999999999999</v>
      </c>
      <c r="N693">
        <v>67.03</v>
      </c>
      <c r="O693">
        <v>5.0599999999999999E-2</v>
      </c>
      <c r="P693">
        <v>1.51</v>
      </c>
      <c r="Q693">
        <v>0.29399999999999998</v>
      </c>
      <c r="R693">
        <v>7.66</v>
      </c>
      <c r="S693">
        <v>85.13</v>
      </c>
      <c r="T693">
        <v>101.54</v>
      </c>
      <c r="U693">
        <v>22000</v>
      </c>
      <c r="V693">
        <v>2002000</v>
      </c>
    </row>
    <row r="694" spans="1:22" x14ac:dyDescent="0.25">
      <c r="A694" t="s">
        <v>81</v>
      </c>
      <c r="B694" t="s">
        <v>82</v>
      </c>
      <c r="C694" t="str">
        <f t="shared" si="20"/>
        <v>2025</v>
      </c>
      <c r="D694" t="str">
        <f t="shared" si="21"/>
        <v>04</v>
      </c>
      <c r="E694" t="s">
        <v>80</v>
      </c>
      <c r="F694" t="s">
        <v>132</v>
      </c>
      <c r="G694" t="s">
        <v>133</v>
      </c>
      <c r="H694" t="s">
        <v>134</v>
      </c>
      <c r="I694" t="s">
        <v>26</v>
      </c>
      <c r="J694">
        <v>138</v>
      </c>
      <c r="K694">
        <v>1321.28</v>
      </c>
      <c r="L694">
        <v>241.1</v>
      </c>
      <c r="M694">
        <v>0.1825</v>
      </c>
      <c r="N694">
        <v>179.48</v>
      </c>
      <c r="O694">
        <v>0.1358</v>
      </c>
      <c r="P694">
        <v>1.32</v>
      </c>
      <c r="Q694">
        <v>0.43799999999999994</v>
      </c>
      <c r="R694">
        <v>35.71</v>
      </c>
      <c r="S694">
        <v>101.77</v>
      </c>
      <c r="T694">
        <v>120.43</v>
      </c>
      <c r="U694">
        <v>22000</v>
      </c>
      <c r="V694">
        <v>2002000</v>
      </c>
    </row>
    <row r="695" spans="1:22" x14ac:dyDescent="0.25">
      <c r="A695" t="s">
        <v>83</v>
      </c>
      <c r="B695" t="s">
        <v>84</v>
      </c>
      <c r="C695" t="str">
        <f t="shared" si="20"/>
        <v>2025</v>
      </c>
      <c r="D695" t="str">
        <f t="shared" si="21"/>
        <v>07</v>
      </c>
      <c r="E695" t="s">
        <v>80</v>
      </c>
      <c r="F695" t="s">
        <v>132</v>
      </c>
      <c r="G695" t="s">
        <v>133</v>
      </c>
      <c r="H695" t="s">
        <v>134</v>
      </c>
      <c r="I695" t="s">
        <v>26</v>
      </c>
      <c r="J695">
        <v>138</v>
      </c>
      <c r="K695">
        <v>1225.7</v>
      </c>
      <c r="L695">
        <v>224.66</v>
      </c>
      <c r="M695">
        <v>0.18329999999999999</v>
      </c>
      <c r="N695">
        <v>65.64</v>
      </c>
      <c r="O695">
        <v>5.3600000000000002E-2</v>
      </c>
      <c r="P695">
        <v>1.35</v>
      </c>
      <c r="Q695">
        <v>7.0000000000000007E-2</v>
      </c>
      <c r="R695">
        <v>3.88</v>
      </c>
      <c r="S695">
        <v>93.24</v>
      </c>
      <c r="T695">
        <v>112.22</v>
      </c>
      <c r="U695">
        <v>22000</v>
      </c>
      <c r="V695">
        <v>2002000</v>
      </c>
    </row>
    <row r="696" spans="1:22" x14ac:dyDescent="0.25">
      <c r="A696" t="s">
        <v>85</v>
      </c>
      <c r="B696" t="s">
        <v>86</v>
      </c>
      <c r="C696" t="str">
        <f t="shared" si="20"/>
        <v>2025</v>
      </c>
      <c r="D696" t="str">
        <f t="shared" si="21"/>
        <v>10</v>
      </c>
      <c r="E696" t="s">
        <v>80</v>
      </c>
      <c r="F696" t="s">
        <v>132</v>
      </c>
      <c r="G696" t="s">
        <v>133</v>
      </c>
      <c r="H696" t="s">
        <v>134</v>
      </c>
      <c r="I696" t="s">
        <v>26</v>
      </c>
      <c r="J696">
        <v>138</v>
      </c>
      <c r="K696">
        <v>1263.0899999999999</v>
      </c>
      <c r="L696">
        <v>223.56</v>
      </c>
      <c r="M696">
        <v>0.17699999999999999</v>
      </c>
      <c r="N696">
        <v>130.85</v>
      </c>
      <c r="O696">
        <v>0.1036</v>
      </c>
      <c r="P696">
        <v>1.35</v>
      </c>
      <c r="Q696">
        <v>0.45299999999999996</v>
      </c>
      <c r="R696">
        <v>24.38</v>
      </c>
      <c r="S696">
        <v>99.34</v>
      </c>
      <c r="T696">
        <v>111.67</v>
      </c>
      <c r="U696">
        <v>22000</v>
      </c>
      <c r="V696">
        <v>2002000</v>
      </c>
    </row>
    <row r="697" spans="1:22" x14ac:dyDescent="0.25">
      <c r="A697" t="s">
        <v>87</v>
      </c>
      <c r="B697" t="s">
        <v>88</v>
      </c>
      <c r="C697" t="str">
        <f t="shared" si="20"/>
        <v>2026</v>
      </c>
      <c r="D697" t="str">
        <f t="shared" si="21"/>
        <v>01</v>
      </c>
      <c r="E697" t="s">
        <v>89</v>
      </c>
      <c r="F697" t="s">
        <v>132</v>
      </c>
      <c r="G697" t="s">
        <v>133</v>
      </c>
      <c r="H697" t="s">
        <v>134</v>
      </c>
      <c r="I697" t="s">
        <v>26</v>
      </c>
      <c r="J697">
        <v>138</v>
      </c>
      <c r="K697">
        <v>1075.3499999999999</v>
      </c>
      <c r="L697">
        <v>293.89</v>
      </c>
      <c r="M697">
        <v>0.27329999999999999</v>
      </c>
      <c r="N697">
        <v>-81.239999999999995</v>
      </c>
      <c r="O697">
        <v>-7.5600000000000001E-2</v>
      </c>
      <c r="P697">
        <v>1.17</v>
      </c>
      <c r="Q697">
        <v>0.18</v>
      </c>
      <c r="R697">
        <v>33.39</v>
      </c>
      <c r="S697">
        <v>130.88</v>
      </c>
      <c r="T697">
        <v>146.80000000000001</v>
      </c>
      <c r="U697">
        <v>22000</v>
      </c>
      <c r="V697">
        <v>2002000</v>
      </c>
    </row>
    <row r="698" spans="1:22" x14ac:dyDescent="0.25">
      <c r="A698" t="s">
        <v>20</v>
      </c>
      <c r="B698" t="s">
        <v>21</v>
      </c>
      <c r="C698" t="str">
        <f t="shared" si="20"/>
        <v>2019</v>
      </c>
      <c r="D698" t="str">
        <f t="shared" si="21"/>
        <v>01</v>
      </c>
      <c r="E698" t="s">
        <v>22</v>
      </c>
      <c r="F698" t="s">
        <v>135</v>
      </c>
      <c r="G698" t="s">
        <v>136</v>
      </c>
      <c r="H698" t="s">
        <v>134</v>
      </c>
      <c r="I698" t="s">
        <v>26</v>
      </c>
      <c r="J698">
        <v>78</v>
      </c>
      <c r="K698">
        <v>457.32</v>
      </c>
      <c r="L698">
        <v>81.44</v>
      </c>
      <c r="M698">
        <v>0.17809999999999998</v>
      </c>
      <c r="N698">
        <v>36.020000000000003</v>
      </c>
      <c r="O698">
        <v>7.8799999999999995E-2</v>
      </c>
      <c r="P698">
        <v>0.73</v>
      </c>
      <c r="Q698">
        <v>0.34399999999999997</v>
      </c>
      <c r="R698">
        <v>0</v>
      </c>
      <c r="S698">
        <v>63</v>
      </c>
      <c r="T698">
        <v>74.58</v>
      </c>
      <c r="U698">
        <v>12000</v>
      </c>
      <c r="V698">
        <v>1092000</v>
      </c>
    </row>
    <row r="699" spans="1:22" x14ac:dyDescent="0.25">
      <c r="A699" t="s">
        <v>27</v>
      </c>
      <c r="B699" t="s">
        <v>28</v>
      </c>
      <c r="C699" t="str">
        <f t="shared" si="20"/>
        <v>2019</v>
      </c>
      <c r="D699" t="str">
        <f t="shared" si="21"/>
        <v>04</v>
      </c>
      <c r="E699" t="s">
        <v>22</v>
      </c>
      <c r="F699" t="s">
        <v>135</v>
      </c>
      <c r="G699" t="s">
        <v>136</v>
      </c>
      <c r="H699" t="s">
        <v>134</v>
      </c>
      <c r="I699" t="s">
        <v>26</v>
      </c>
      <c r="J699">
        <v>78</v>
      </c>
      <c r="K699">
        <v>428.83</v>
      </c>
      <c r="L699">
        <v>80.09</v>
      </c>
      <c r="M699">
        <v>0.18679999999999999</v>
      </c>
      <c r="N699">
        <v>43.12</v>
      </c>
      <c r="O699">
        <v>0.10060000000000001</v>
      </c>
      <c r="P699">
        <v>0.77</v>
      </c>
      <c r="Q699">
        <v>0.65</v>
      </c>
      <c r="R699">
        <v>0</v>
      </c>
      <c r="S699">
        <v>64.790000000000006</v>
      </c>
      <c r="T699">
        <v>73.34</v>
      </c>
      <c r="U699">
        <v>12000</v>
      </c>
      <c r="V699">
        <v>1092000</v>
      </c>
    </row>
    <row r="700" spans="1:22" x14ac:dyDescent="0.25">
      <c r="A700" t="s">
        <v>29</v>
      </c>
      <c r="B700" t="s">
        <v>30</v>
      </c>
      <c r="C700" t="str">
        <f t="shared" si="20"/>
        <v>2019</v>
      </c>
      <c r="D700" t="str">
        <f t="shared" si="21"/>
        <v>07</v>
      </c>
      <c r="E700" t="s">
        <v>22</v>
      </c>
      <c r="F700" t="s">
        <v>135</v>
      </c>
      <c r="G700" t="s">
        <v>136</v>
      </c>
      <c r="H700" t="s">
        <v>134</v>
      </c>
      <c r="I700" t="s">
        <v>26</v>
      </c>
      <c r="J700">
        <v>78</v>
      </c>
      <c r="K700">
        <v>481.42</v>
      </c>
      <c r="L700">
        <v>77.650000000000006</v>
      </c>
      <c r="M700">
        <v>0.1613</v>
      </c>
      <c r="N700">
        <v>23.58</v>
      </c>
      <c r="O700">
        <v>4.9000000000000002E-2</v>
      </c>
      <c r="P700">
        <v>0.75</v>
      </c>
      <c r="Q700">
        <v>0.09</v>
      </c>
      <c r="R700">
        <v>0</v>
      </c>
      <c r="S700">
        <v>60.46</v>
      </c>
      <c r="T700">
        <v>71.11</v>
      </c>
      <c r="U700">
        <v>12000</v>
      </c>
      <c r="V700">
        <v>1092000</v>
      </c>
    </row>
    <row r="701" spans="1:22" x14ac:dyDescent="0.25">
      <c r="A701" t="s">
        <v>31</v>
      </c>
      <c r="B701" t="s">
        <v>32</v>
      </c>
      <c r="C701" t="str">
        <f t="shared" si="20"/>
        <v>2019</v>
      </c>
      <c r="D701" t="str">
        <f t="shared" si="21"/>
        <v>10</v>
      </c>
      <c r="E701" t="s">
        <v>22</v>
      </c>
      <c r="F701" t="s">
        <v>135</v>
      </c>
      <c r="G701" t="s">
        <v>136</v>
      </c>
      <c r="H701" t="s">
        <v>134</v>
      </c>
      <c r="I701" t="s">
        <v>26</v>
      </c>
      <c r="J701">
        <v>78</v>
      </c>
      <c r="K701">
        <v>460.16</v>
      </c>
      <c r="L701">
        <v>84.05</v>
      </c>
      <c r="M701">
        <v>0.1827</v>
      </c>
      <c r="N701">
        <v>20.52</v>
      </c>
      <c r="O701">
        <v>4.4600000000000001E-2</v>
      </c>
      <c r="P701">
        <v>0.84</v>
      </c>
      <c r="Q701">
        <v>0.04</v>
      </c>
      <c r="R701">
        <v>0</v>
      </c>
      <c r="S701">
        <v>65.66</v>
      </c>
      <c r="T701">
        <v>76.97</v>
      </c>
      <c r="U701">
        <v>12000</v>
      </c>
      <c r="V701">
        <v>1092000</v>
      </c>
    </row>
    <row r="702" spans="1:22" x14ac:dyDescent="0.25">
      <c r="A702" t="s">
        <v>33</v>
      </c>
      <c r="B702" t="s">
        <v>34</v>
      </c>
      <c r="C702" t="str">
        <f t="shared" si="20"/>
        <v>2020</v>
      </c>
      <c r="D702" t="str">
        <f t="shared" si="21"/>
        <v>01</v>
      </c>
      <c r="E702" t="s">
        <v>22</v>
      </c>
      <c r="F702" t="s">
        <v>135</v>
      </c>
      <c r="G702" t="s">
        <v>136</v>
      </c>
      <c r="H702" t="s">
        <v>134</v>
      </c>
      <c r="I702" t="s">
        <v>26</v>
      </c>
      <c r="J702">
        <v>78</v>
      </c>
      <c r="K702">
        <v>450.39</v>
      </c>
      <c r="L702">
        <v>82.31</v>
      </c>
      <c r="M702">
        <v>0.18280000000000002</v>
      </c>
      <c r="N702">
        <v>58.28</v>
      </c>
      <c r="O702">
        <v>0.12939999999999999</v>
      </c>
      <c r="P702">
        <v>0.83</v>
      </c>
      <c r="Q702">
        <v>0.30199999999999999</v>
      </c>
      <c r="R702">
        <v>0</v>
      </c>
      <c r="S702">
        <v>66.66</v>
      </c>
      <c r="T702">
        <v>75.38</v>
      </c>
      <c r="U702">
        <v>12000</v>
      </c>
      <c r="V702">
        <v>1092000</v>
      </c>
    </row>
    <row r="703" spans="1:22" x14ac:dyDescent="0.25">
      <c r="A703" t="s">
        <v>35</v>
      </c>
      <c r="B703" t="s">
        <v>36</v>
      </c>
      <c r="C703" t="str">
        <f t="shared" si="20"/>
        <v>2020</v>
      </c>
      <c r="D703" t="str">
        <f t="shared" si="21"/>
        <v>04</v>
      </c>
      <c r="E703" t="s">
        <v>37</v>
      </c>
      <c r="F703" t="s">
        <v>135</v>
      </c>
      <c r="G703" t="s">
        <v>136</v>
      </c>
      <c r="H703" t="s">
        <v>134</v>
      </c>
      <c r="I703" t="s">
        <v>26</v>
      </c>
      <c r="J703">
        <v>78</v>
      </c>
      <c r="K703">
        <v>111.46</v>
      </c>
      <c r="L703">
        <v>25.87</v>
      </c>
      <c r="M703">
        <v>0.2321</v>
      </c>
      <c r="N703">
        <v>-32.43</v>
      </c>
      <c r="O703">
        <v>-0.29100000000000004</v>
      </c>
      <c r="P703">
        <v>0.18</v>
      </c>
      <c r="Q703">
        <v>0.21100000000000002</v>
      </c>
      <c r="R703">
        <v>0</v>
      </c>
      <c r="S703">
        <v>20.57</v>
      </c>
      <c r="T703">
        <v>23.69</v>
      </c>
      <c r="U703">
        <v>12000</v>
      </c>
      <c r="V703">
        <v>1092000</v>
      </c>
    </row>
    <row r="704" spans="1:22" x14ac:dyDescent="0.25">
      <c r="A704" t="s">
        <v>38</v>
      </c>
      <c r="B704" t="s">
        <v>39</v>
      </c>
      <c r="C704" t="str">
        <f t="shared" si="20"/>
        <v>2020</v>
      </c>
      <c r="D704" t="str">
        <f t="shared" si="21"/>
        <v>07</v>
      </c>
      <c r="E704" t="s">
        <v>37</v>
      </c>
      <c r="F704" t="s">
        <v>135</v>
      </c>
      <c r="G704" t="s">
        <v>136</v>
      </c>
      <c r="H704" t="s">
        <v>134</v>
      </c>
      <c r="I704" t="s">
        <v>26</v>
      </c>
      <c r="J704">
        <v>78</v>
      </c>
      <c r="K704">
        <v>134.05000000000001</v>
      </c>
      <c r="L704">
        <v>55.07</v>
      </c>
      <c r="M704">
        <v>0.4108</v>
      </c>
      <c r="N704">
        <v>-40.369999999999997</v>
      </c>
      <c r="O704">
        <v>-0.30120000000000002</v>
      </c>
      <c r="P704">
        <v>0.22</v>
      </c>
      <c r="Q704">
        <v>6.6000000000000003E-2</v>
      </c>
      <c r="R704">
        <v>0</v>
      </c>
      <c r="S704">
        <v>44.05</v>
      </c>
      <c r="T704">
        <v>50.43</v>
      </c>
      <c r="U704">
        <v>12000</v>
      </c>
      <c r="V704">
        <v>1092000</v>
      </c>
    </row>
    <row r="705" spans="1:22" x14ac:dyDescent="0.25">
      <c r="A705" t="s">
        <v>40</v>
      </c>
      <c r="B705" t="s">
        <v>41</v>
      </c>
      <c r="C705" t="str">
        <f t="shared" si="20"/>
        <v>2020</v>
      </c>
      <c r="D705" t="str">
        <f t="shared" si="21"/>
        <v>10</v>
      </c>
      <c r="E705" t="s">
        <v>37</v>
      </c>
      <c r="F705" t="s">
        <v>135</v>
      </c>
      <c r="G705" t="s">
        <v>136</v>
      </c>
      <c r="H705" t="s">
        <v>134</v>
      </c>
      <c r="I705" t="s">
        <v>26</v>
      </c>
      <c r="J705">
        <v>78</v>
      </c>
      <c r="K705">
        <v>73.7</v>
      </c>
      <c r="L705">
        <v>49.86</v>
      </c>
      <c r="M705">
        <v>0.67659999999999998</v>
      </c>
      <c r="N705">
        <v>-23.75</v>
      </c>
      <c r="O705">
        <v>-0.32229999999999998</v>
      </c>
      <c r="P705">
        <v>0.13</v>
      </c>
      <c r="Q705">
        <v>0.42700000000000005</v>
      </c>
      <c r="R705">
        <v>0</v>
      </c>
      <c r="S705">
        <v>39.950000000000003</v>
      </c>
      <c r="T705">
        <v>45.66</v>
      </c>
      <c r="U705">
        <v>12000</v>
      </c>
      <c r="V705">
        <v>1092000</v>
      </c>
    </row>
    <row r="706" spans="1:22" x14ac:dyDescent="0.25">
      <c r="A706" t="s">
        <v>42</v>
      </c>
      <c r="B706" t="s">
        <v>43</v>
      </c>
      <c r="C706" t="str">
        <f t="shared" si="20"/>
        <v>2021</v>
      </c>
      <c r="D706" t="str">
        <f t="shared" si="21"/>
        <v>01</v>
      </c>
      <c r="E706" t="s">
        <v>37</v>
      </c>
      <c r="F706" t="s">
        <v>135</v>
      </c>
      <c r="G706" t="s">
        <v>136</v>
      </c>
      <c r="H706" t="s">
        <v>134</v>
      </c>
      <c r="I706" t="s">
        <v>26</v>
      </c>
      <c r="J706">
        <v>78</v>
      </c>
      <c r="K706">
        <v>148.04</v>
      </c>
      <c r="L706">
        <v>93.66</v>
      </c>
      <c r="M706">
        <v>0.63270000000000004</v>
      </c>
      <c r="N706">
        <v>-36.409999999999997</v>
      </c>
      <c r="O706">
        <v>-0.24590000000000001</v>
      </c>
      <c r="P706">
        <v>0.23</v>
      </c>
      <c r="Q706">
        <v>0.51600000000000001</v>
      </c>
      <c r="R706">
        <v>0</v>
      </c>
      <c r="S706">
        <v>75.489999999999995</v>
      </c>
      <c r="T706">
        <v>85.77</v>
      </c>
      <c r="U706">
        <v>12000</v>
      </c>
      <c r="V706">
        <v>1092000</v>
      </c>
    </row>
    <row r="707" spans="1:22" x14ac:dyDescent="0.25">
      <c r="A707" t="s">
        <v>44</v>
      </c>
      <c r="B707" t="s">
        <v>45</v>
      </c>
      <c r="C707" t="str">
        <f t="shared" ref="C707:C726" si="22">LEFT(B707,4)</f>
        <v>2021</v>
      </c>
      <c r="D707" t="str">
        <f t="shared" ref="D707:D726" si="23">RIGHT(B707,2)</f>
        <v>04</v>
      </c>
      <c r="E707" t="s">
        <v>37</v>
      </c>
      <c r="F707" t="s">
        <v>135</v>
      </c>
      <c r="G707" t="s">
        <v>136</v>
      </c>
      <c r="H707" t="s">
        <v>134</v>
      </c>
      <c r="I707" t="s">
        <v>26</v>
      </c>
      <c r="J707">
        <v>78</v>
      </c>
      <c r="K707">
        <v>128.37</v>
      </c>
      <c r="L707">
        <v>99.28</v>
      </c>
      <c r="M707">
        <v>0.77340000000000009</v>
      </c>
      <c r="N707">
        <v>-31.19</v>
      </c>
      <c r="O707">
        <v>-0.24299999999999999</v>
      </c>
      <c r="P707">
        <v>0.23</v>
      </c>
      <c r="Q707">
        <v>0.22500000000000001</v>
      </c>
      <c r="R707">
        <v>0.23</v>
      </c>
      <c r="S707">
        <v>76.83</v>
      </c>
      <c r="T707">
        <v>90.92</v>
      </c>
      <c r="U707">
        <v>12000</v>
      </c>
      <c r="V707">
        <v>1092000</v>
      </c>
    </row>
    <row r="708" spans="1:22" x14ac:dyDescent="0.25">
      <c r="A708" t="s">
        <v>46</v>
      </c>
      <c r="B708" t="s">
        <v>47</v>
      </c>
      <c r="C708" t="str">
        <f t="shared" si="22"/>
        <v>2021</v>
      </c>
      <c r="D708" t="str">
        <f t="shared" si="23"/>
        <v>07</v>
      </c>
      <c r="E708" t="s">
        <v>48</v>
      </c>
      <c r="F708" t="s">
        <v>135</v>
      </c>
      <c r="G708" t="s">
        <v>136</v>
      </c>
      <c r="H708" t="s">
        <v>134</v>
      </c>
      <c r="I708" t="s">
        <v>26</v>
      </c>
      <c r="J708">
        <v>78</v>
      </c>
      <c r="K708">
        <v>316.19</v>
      </c>
      <c r="L708">
        <v>98.19</v>
      </c>
      <c r="M708">
        <v>0.3105</v>
      </c>
      <c r="N708">
        <v>6.91</v>
      </c>
      <c r="O708">
        <v>2.18E-2</v>
      </c>
      <c r="P708">
        <v>0.51</v>
      </c>
      <c r="Q708">
        <v>0.22699999999999998</v>
      </c>
      <c r="R708">
        <v>0</v>
      </c>
      <c r="S708">
        <v>78.97</v>
      </c>
      <c r="T708">
        <v>89.92</v>
      </c>
      <c r="U708">
        <v>12000</v>
      </c>
      <c r="V708">
        <v>1092000</v>
      </c>
    </row>
    <row r="709" spans="1:22" x14ac:dyDescent="0.25">
      <c r="A709" t="s">
        <v>49</v>
      </c>
      <c r="B709" t="s">
        <v>50</v>
      </c>
      <c r="C709" t="str">
        <f t="shared" si="22"/>
        <v>2021</v>
      </c>
      <c r="D709" t="str">
        <f t="shared" si="23"/>
        <v>10</v>
      </c>
      <c r="E709" t="s">
        <v>48</v>
      </c>
      <c r="F709" t="s">
        <v>135</v>
      </c>
      <c r="G709" t="s">
        <v>136</v>
      </c>
      <c r="H709" t="s">
        <v>134</v>
      </c>
      <c r="I709" t="s">
        <v>26</v>
      </c>
      <c r="J709">
        <v>78</v>
      </c>
      <c r="K709">
        <v>298.72000000000003</v>
      </c>
      <c r="L709">
        <v>113.84</v>
      </c>
      <c r="M709">
        <v>0.38109999999999999</v>
      </c>
      <c r="N709">
        <v>23.56</v>
      </c>
      <c r="O709">
        <v>7.8899999999999998E-2</v>
      </c>
      <c r="P709">
        <v>0.48</v>
      </c>
      <c r="Q709">
        <v>0.50700000000000001</v>
      </c>
      <c r="R709">
        <v>9.14</v>
      </c>
      <c r="S709">
        <v>86.82</v>
      </c>
      <c r="T709">
        <v>104.25</v>
      </c>
      <c r="U709">
        <v>12000</v>
      </c>
      <c r="V709">
        <v>1092000</v>
      </c>
    </row>
    <row r="710" spans="1:22" x14ac:dyDescent="0.25">
      <c r="A710" t="s">
        <v>51</v>
      </c>
      <c r="B710" t="s">
        <v>52</v>
      </c>
      <c r="C710" t="str">
        <f t="shared" si="22"/>
        <v>2022</v>
      </c>
      <c r="D710" t="str">
        <f t="shared" si="23"/>
        <v>01</v>
      </c>
      <c r="E710" t="s">
        <v>48</v>
      </c>
      <c r="F710" t="s">
        <v>135</v>
      </c>
      <c r="G710" t="s">
        <v>136</v>
      </c>
      <c r="H710" t="s">
        <v>134</v>
      </c>
      <c r="I710" t="s">
        <v>26</v>
      </c>
      <c r="J710">
        <v>78</v>
      </c>
      <c r="K710">
        <v>381.88</v>
      </c>
      <c r="L710">
        <v>88.93</v>
      </c>
      <c r="M710">
        <v>0.2329</v>
      </c>
      <c r="N710">
        <v>29.02</v>
      </c>
      <c r="O710">
        <v>7.5999999999999998E-2</v>
      </c>
      <c r="P710">
        <v>0.66</v>
      </c>
      <c r="Q710">
        <v>0.35</v>
      </c>
      <c r="R710">
        <v>0</v>
      </c>
      <c r="S710">
        <v>72.010000000000005</v>
      </c>
      <c r="T710">
        <v>81.44</v>
      </c>
      <c r="U710">
        <v>12000</v>
      </c>
      <c r="V710">
        <v>1092000</v>
      </c>
    </row>
    <row r="711" spans="1:22" x14ac:dyDescent="0.25">
      <c r="A711" t="s">
        <v>53</v>
      </c>
      <c r="B711" t="s">
        <v>54</v>
      </c>
      <c r="C711" t="str">
        <f t="shared" si="22"/>
        <v>2022</v>
      </c>
      <c r="D711" t="str">
        <f t="shared" si="23"/>
        <v>04</v>
      </c>
      <c r="E711" t="s">
        <v>55</v>
      </c>
      <c r="F711" t="s">
        <v>135</v>
      </c>
      <c r="G711" t="s">
        <v>136</v>
      </c>
      <c r="H711" t="s">
        <v>134</v>
      </c>
      <c r="I711" t="s">
        <v>26</v>
      </c>
      <c r="J711">
        <v>78</v>
      </c>
      <c r="K711">
        <v>432.83</v>
      </c>
      <c r="L711">
        <v>143.74</v>
      </c>
      <c r="M711">
        <v>0.33210000000000001</v>
      </c>
      <c r="N711">
        <v>38.49</v>
      </c>
      <c r="O711">
        <v>8.8900000000000007E-2</v>
      </c>
      <c r="P711">
        <v>0.7</v>
      </c>
      <c r="Q711">
        <v>6.9000000000000006E-2</v>
      </c>
      <c r="R711">
        <v>4.59</v>
      </c>
      <c r="S711">
        <v>109.53</v>
      </c>
      <c r="T711">
        <v>131.63</v>
      </c>
      <c r="U711">
        <v>12000</v>
      </c>
      <c r="V711">
        <v>1092000</v>
      </c>
    </row>
    <row r="712" spans="1:22" x14ac:dyDescent="0.25">
      <c r="A712" t="s">
        <v>56</v>
      </c>
      <c r="B712" t="s">
        <v>57</v>
      </c>
      <c r="C712" t="str">
        <f t="shared" si="22"/>
        <v>2022</v>
      </c>
      <c r="D712" t="str">
        <f t="shared" si="23"/>
        <v>07</v>
      </c>
      <c r="E712" t="s">
        <v>55</v>
      </c>
      <c r="F712" t="s">
        <v>135</v>
      </c>
      <c r="G712" t="s">
        <v>136</v>
      </c>
      <c r="H712" t="s">
        <v>134</v>
      </c>
      <c r="I712" t="s">
        <v>26</v>
      </c>
      <c r="J712">
        <v>78</v>
      </c>
      <c r="K712">
        <v>431.47</v>
      </c>
      <c r="L712">
        <v>103.18</v>
      </c>
      <c r="M712">
        <v>0.23910000000000001</v>
      </c>
      <c r="N712">
        <v>19.510000000000002</v>
      </c>
      <c r="O712">
        <v>4.5199999999999997E-2</v>
      </c>
      <c r="P712">
        <v>0.76</v>
      </c>
      <c r="Q712">
        <v>0.11</v>
      </c>
      <c r="R712">
        <v>0.56999999999999995</v>
      </c>
      <c r="S712">
        <v>80.69</v>
      </c>
      <c r="T712">
        <v>94.49</v>
      </c>
      <c r="U712">
        <v>12000</v>
      </c>
      <c r="V712">
        <v>1092000</v>
      </c>
    </row>
    <row r="713" spans="1:22" x14ac:dyDescent="0.25">
      <c r="A713" t="s">
        <v>58</v>
      </c>
      <c r="B713" t="s">
        <v>59</v>
      </c>
      <c r="C713" t="str">
        <f t="shared" si="22"/>
        <v>2022</v>
      </c>
      <c r="D713" t="str">
        <f t="shared" si="23"/>
        <v>10</v>
      </c>
      <c r="E713" t="s">
        <v>55</v>
      </c>
      <c r="F713" t="s">
        <v>135</v>
      </c>
      <c r="G713" t="s">
        <v>136</v>
      </c>
      <c r="H713" t="s">
        <v>134</v>
      </c>
      <c r="I713" t="s">
        <v>26</v>
      </c>
      <c r="J713">
        <v>78</v>
      </c>
      <c r="K713">
        <v>433.52</v>
      </c>
      <c r="L713">
        <v>115.27</v>
      </c>
      <c r="M713">
        <v>0.26590000000000003</v>
      </c>
      <c r="N713">
        <v>11.33</v>
      </c>
      <c r="O713">
        <v>2.6099999999999998E-2</v>
      </c>
      <c r="P713">
        <v>0.78</v>
      </c>
      <c r="Q713">
        <v>0.47100000000000003</v>
      </c>
      <c r="R713">
        <v>9.39</v>
      </c>
      <c r="S713">
        <v>93.25</v>
      </c>
      <c r="T713">
        <v>105.56</v>
      </c>
      <c r="U713">
        <v>12000</v>
      </c>
      <c r="V713">
        <v>1092000</v>
      </c>
    </row>
    <row r="714" spans="1:22" x14ac:dyDescent="0.25">
      <c r="A714" t="s">
        <v>60</v>
      </c>
      <c r="B714" t="s">
        <v>61</v>
      </c>
      <c r="C714" t="str">
        <f t="shared" si="22"/>
        <v>2023</v>
      </c>
      <c r="D714" t="str">
        <f t="shared" si="23"/>
        <v>01</v>
      </c>
      <c r="E714" t="s">
        <v>62</v>
      </c>
      <c r="F714" t="s">
        <v>135</v>
      </c>
      <c r="G714" t="s">
        <v>136</v>
      </c>
      <c r="H714" t="s">
        <v>134</v>
      </c>
      <c r="I714" t="s">
        <v>26</v>
      </c>
      <c r="J714">
        <v>78</v>
      </c>
      <c r="K714">
        <v>453.09</v>
      </c>
      <c r="L714">
        <v>106.07</v>
      </c>
      <c r="M714">
        <v>0.2341</v>
      </c>
      <c r="N714">
        <v>37.61</v>
      </c>
      <c r="O714">
        <v>8.3000000000000004E-2</v>
      </c>
      <c r="P714">
        <v>0.71</v>
      </c>
      <c r="Q714">
        <v>0.25</v>
      </c>
      <c r="R714">
        <v>2.1</v>
      </c>
      <c r="S714">
        <v>84.29</v>
      </c>
      <c r="T714">
        <v>97.13</v>
      </c>
      <c r="U714">
        <v>12000</v>
      </c>
      <c r="V714">
        <v>1092000</v>
      </c>
    </row>
    <row r="715" spans="1:22" x14ac:dyDescent="0.25">
      <c r="A715" t="s">
        <v>63</v>
      </c>
      <c r="B715" t="s">
        <v>64</v>
      </c>
      <c r="C715" t="str">
        <f t="shared" si="22"/>
        <v>2023</v>
      </c>
      <c r="D715" t="str">
        <f t="shared" si="23"/>
        <v>04</v>
      </c>
      <c r="E715" t="s">
        <v>62</v>
      </c>
      <c r="F715" t="s">
        <v>135</v>
      </c>
      <c r="G715" t="s">
        <v>136</v>
      </c>
      <c r="H715" t="s">
        <v>134</v>
      </c>
      <c r="I715" t="s">
        <v>26</v>
      </c>
      <c r="J715">
        <v>78</v>
      </c>
      <c r="K715">
        <v>480.55</v>
      </c>
      <c r="L715">
        <v>111.35</v>
      </c>
      <c r="M715">
        <v>0.23170000000000002</v>
      </c>
      <c r="N715">
        <v>25.89</v>
      </c>
      <c r="O715">
        <v>5.3899999999999997E-2</v>
      </c>
      <c r="P715">
        <v>0.85</v>
      </c>
      <c r="Q715">
        <v>3.1E-2</v>
      </c>
      <c r="R715">
        <v>0.46</v>
      </c>
      <c r="S715">
        <v>88.18</v>
      </c>
      <c r="T715">
        <v>101.97</v>
      </c>
      <c r="U715">
        <v>12000</v>
      </c>
      <c r="V715">
        <v>1092000</v>
      </c>
    </row>
    <row r="716" spans="1:22" x14ac:dyDescent="0.25">
      <c r="A716" t="s">
        <v>65</v>
      </c>
      <c r="B716" t="s">
        <v>66</v>
      </c>
      <c r="C716" t="str">
        <f t="shared" si="22"/>
        <v>2023</v>
      </c>
      <c r="D716" t="str">
        <f t="shared" si="23"/>
        <v>07</v>
      </c>
      <c r="E716" t="s">
        <v>62</v>
      </c>
      <c r="F716" t="s">
        <v>135</v>
      </c>
      <c r="G716" t="s">
        <v>136</v>
      </c>
      <c r="H716" t="s">
        <v>134</v>
      </c>
      <c r="I716" t="s">
        <v>26</v>
      </c>
      <c r="J716">
        <v>78</v>
      </c>
      <c r="K716">
        <v>445.73</v>
      </c>
      <c r="L716">
        <v>106.49</v>
      </c>
      <c r="M716">
        <v>0.2389</v>
      </c>
      <c r="N716">
        <v>55.58</v>
      </c>
      <c r="O716">
        <v>0.12470000000000001</v>
      </c>
      <c r="P716">
        <v>0.74</v>
      </c>
      <c r="Q716">
        <v>0.45700000000000002</v>
      </c>
      <c r="R716">
        <v>4.07</v>
      </c>
      <c r="S716">
        <v>85.16</v>
      </c>
      <c r="T716">
        <v>97.52</v>
      </c>
      <c r="U716">
        <v>12000</v>
      </c>
      <c r="V716">
        <v>1092000</v>
      </c>
    </row>
    <row r="717" spans="1:22" x14ac:dyDescent="0.25">
      <c r="A717" t="s">
        <v>67</v>
      </c>
      <c r="B717" t="s">
        <v>68</v>
      </c>
      <c r="C717" t="str">
        <f t="shared" si="22"/>
        <v>2023</v>
      </c>
      <c r="D717" t="str">
        <f t="shared" si="23"/>
        <v>10</v>
      </c>
      <c r="E717" t="s">
        <v>69</v>
      </c>
      <c r="F717" t="s">
        <v>135</v>
      </c>
      <c r="G717" t="s">
        <v>136</v>
      </c>
      <c r="H717" t="s">
        <v>134</v>
      </c>
      <c r="I717" t="s">
        <v>26</v>
      </c>
      <c r="J717">
        <v>78</v>
      </c>
      <c r="K717">
        <v>433.56</v>
      </c>
      <c r="L717">
        <v>98.24</v>
      </c>
      <c r="M717">
        <v>0.2266</v>
      </c>
      <c r="N717">
        <v>46.97</v>
      </c>
      <c r="O717">
        <v>0.10830000000000001</v>
      </c>
      <c r="P717">
        <v>0.78</v>
      </c>
      <c r="Q717">
        <v>0.52300000000000002</v>
      </c>
      <c r="R717">
        <v>0</v>
      </c>
      <c r="S717">
        <v>78.33</v>
      </c>
      <c r="T717">
        <v>89.96</v>
      </c>
      <c r="U717">
        <v>12000</v>
      </c>
      <c r="V717">
        <v>1092000</v>
      </c>
    </row>
    <row r="718" spans="1:22" x14ac:dyDescent="0.25">
      <c r="A718" t="s">
        <v>70</v>
      </c>
      <c r="B718" t="s">
        <v>71</v>
      </c>
      <c r="C718" t="str">
        <f t="shared" si="22"/>
        <v>2024</v>
      </c>
      <c r="D718" t="str">
        <f t="shared" si="23"/>
        <v>01</v>
      </c>
      <c r="E718" t="s">
        <v>69</v>
      </c>
      <c r="F718" t="s">
        <v>135</v>
      </c>
      <c r="G718" t="s">
        <v>136</v>
      </c>
      <c r="H718" t="s">
        <v>134</v>
      </c>
      <c r="I718" t="s">
        <v>26</v>
      </c>
      <c r="J718">
        <v>78</v>
      </c>
      <c r="K718">
        <v>453.17</v>
      </c>
      <c r="L718">
        <v>108.13</v>
      </c>
      <c r="M718">
        <v>0.23860000000000001</v>
      </c>
      <c r="N718">
        <v>59.1</v>
      </c>
      <c r="O718">
        <v>0.13039999999999999</v>
      </c>
      <c r="P718">
        <v>0.77</v>
      </c>
      <c r="Q718">
        <v>0.53200000000000003</v>
      </c>
      <c r="R718">
        <v>5.77</v>
      </c>
      <c r="S718">
        <v>84.61</v>
      </c>
      <c r="T718">
        <v>99.02</v>
      </c>
      <c r="U718">
        <v>12000</v>
      </c>
      <c r="V718">
        <v>1092000</v>
      </c>
    </row>
    <row r="719" spans="1:22" x14ac:dyDescent="0.25">
      <c r="A719" t="s">
        <v>72</v>
      </c>
      <c r="B719" t="s">
        <v>73</v>
      </c>
      <c r="C719" t="str">
        <f t="shared" si="22"/>
        <v>2024</v>
      </c>
      <c r="D719" t="str">
        <f t="shared" si="23"/>
        <v>04</v>
      </c>
      <c r="E719" t="s">
        <v>69</v>
      </c>
      <c r="F719" t="s">
        <v>135</v>
      </c>
      <c r="G719" t="s">
        <v>136</v>
      </c>
      <c r="H719" t="s">
        <v>134</v>
      </c>
      <c r="I719" t="s">
        <v>26</v>
      </c>
      <c r="J719">
        <v>78</v>
      </c>
      <c r="K719">
        <v>439.99</v>
      </c>
      <c r="L719">
        <v>111.14</v>
      </c>
      <c r="M719">
        <v>0.25259999999999999</v>
      </c>
      <c r="N719">
        <v>26.85</v>
      </c>
      <c r="O719">
        <v>6.0999999999999999E-2</v>
      </c>
      <c r="P719">
        <v>0.78</v>
      </c>
      <c r="Q719">
        <v>0.42</v>
      </c>
      <c r="R719">
        <v>6.11</v>
      </c>
      <c r="S719">
        <v>84.06</v>
      </c>
      <c r="T719">
        <v>101.78</v>
      </c>
      <c r="U719">
        <v>12000</v>
      </c>
      <c r="V719">
        <v>1092000</v>
      </c>
    </row>
    <row r="720" spans="1:22" x14ac:dyDescent="0.25">
      <c r="A720" t="s">
        <v>74</v>
      </c>
      <c r="B720" t="s">
        <v>75</v>
      </c>
      <c r="C720" t="str">
        <f t="shared" si="22"/>
        <v>2024</v>
      </c>
      <c r="D720" t="str">
        <f t="shared" si="23"/>
        <v>07</v>
      </c>
      <c r="E720" t="s">
        <v>69</v>
      </c>
      <c r="F720" t="s">
        <v>135</v>
      </c>
      <c r="G720" t="s">
        <v>136</v>
      </c>
      <c r="H720" t="s">
        <v>134</v>
      </c>
      <c r="I720" t="s">
        <v>26</v>
      </c>
      <c r="J720">
        <v>78</v>
      </c>
      <c r="K720">
        <v>467.06</v>
      </c>
      <c r="L720">
        <v>102.63</v>
      </c>
      <c r="M720">
        <v>0.21969999999999998</v>
      </c>
      <c r="N720">
        <v>29.73</v>
      </c>
      <c r="O720">
        <v>6.3700000000000007E-2</v>
      </c>
      <c r="P720">
        <v>0.77</v>
      </c>
      <c r="Q720">
        <v>0.16800000000000001</v>
      </c>
      <c r="R720">
        <v>0.76</v>
      </c>
      <c r="S720">
        <v>80.400000000000006</v>
      </c>
      <c r="T720">
        <v>93.98</v>
      </c>
      <c r="U720">
        <v>12000</v>
      </c>
      <c r="V720">
        <v>1092000</v>
      </c>
    </row>
    <row r="721" spans="1:22" x14ac:dyDescent="0.25">
      <c r="A721" t="s">
        <v>76</v>
      </c>
      <c r="B721" t="s">
        <v>77</v>
      </c>
      <c r="C721" t="str">
        <f t="shared" si="22"/>
        <v>2024</v>
      </c>
      <c r="D721" t="str">
        <f t="shared" si="23"/>
        <v>10</v>
      </c>
      <c r="E721" t="s">
        <v>69</v>
      </c>
      <c r="F721" t="s">
        <v>135</v>
      </c>
      <c r="G721" t="s">
        <v>136</v>
      </c>
      <c r="H721" t="s">
        <v>134</v>
      </c>
      <c r="I721" t="s">
        <v>26</v>
      </c>
      <c r="J721">
        <v>78</v>
      </c>
      <c r="K721">
        <v>431.49</v>
      </c>
      <c r="L721">
        <v>122.87</v>
      </c>
      <c r="M721">
        <v>0.2848</v>
      </c>
      <c r="N721">
        <v>26.06</v>
      </c>
      <c r="O721">
        <v>6.0400000000000002E-2</v>
      </c>
      <c r="P721">
        <v>0.8</v>
      </c>
      <c r="Q721">
        <v>0.152</v>
      </c>
      <c r="R721">
        <v>4.67</v>
      </c>
      <c r="S721">
        <v>94.78</v>
      </c>
      <c r="T721">
        <v>112.52</v>
      </c>
      <c r="U721">
        <v>12000</v>
      </c>
      <c r="V721">
        <v>1092000</v>
      </c>
    </row>
    <row r="722" spans="1:22" x14ac:dyDescent="0.25">
      <c r="A722" t="s">
        <v>78</v>
      </c>
      <c r="B722" t="s">
        <v>79</v>
      </c>
      <c r="C722" t="str">
        <f t="shared" si="22"/>
        <v>2025</v>
      </c>
      <c r="D722" t="str">
        <f t="shared" si="23"/>
        <v>01</v>
      </c>
      <c r="E722" t="s">
        <v>80</v>
      </c>
      <c r="F722" t="s">
        <v>135</v>
      </c>
      <c r="G722" t="s">
        <v>136</v>
      </c>
      <c r="H722" t="s">
        <v>134</v>
      </c>
      <c r="I722" t="s">
        <v>26</v>
      </c>
      <c r="J722">
        <v>78</v>
      </c>
      <c r="K722">
        <v>436.82</v>
      </c>
      <c r="L722">
        <v>110.88</v>
      </c>
      <c r="M722">
        <v>0.25379999999999997</v>
      </c>
      <c r="N722">
        <v>47.91</v>
      </c>
      <c r="O722">
        <v>0.10970000000000001</v>
      </c>
      <c r="P722">
        <v>0.75</v>
      </c>
      <c r="Q722">
        <v>0.48499999999999999</v>
      </c>
      <c r="R722">
        <v>6.9</v>
      </c>
      <c r="S722">
        <v>85.13</v>
      </c>
      <c r="T722">
        <v>101.54</v>
      </c>
      <c r="U722">
        <v>12000</v>
      </c>
      <c r="V722">
        <v>1092000</v>
      </c>
    </row>
    <row r="723" spans="1:22" x14ac:dyDescent="0.25">
      <c r="A723" t="s">
        <v>81</v>
      </c>
      <c r="B723" t="s">
        <v>82</v>
      </c>
      <c r="C723" t="str">
        <f t="shared" si="22"/>
        <v>2025</v>
      </c>
      <c r="D723" t="str">
        <f t="shared" si="23"/>
        <v>04</v>
      </c>
      <c r="E723" t="s">
        <v>80</v>
      </c>
      <c r="F723" t="s">
        <v>135</v>
      </c>
      <c r="G723" t="s">
        <v>136</v>
      </c>
      <c r="H723" t="s">
        <v>134</v>
      </c>
      <c r="I723" t="s">
        <v>26</v>
      </c>
      <c r="J723">
        <v>78</v>
      </c>
      <c r="K723">
        <v>465.74</v>
      </c>
      <c r="L723">
        <v>131.51</v>
      </c>
      <c r="M723">
        <v>0.28239999999999998</v>
      </c>
      <c r="N723">
        <v>29.02</v>
      </c>
      <c r="O723">
        <v>6.2300000000000001E-2</v>
      </c>
      <c r="P723">
        <v>0.78</v>
      </c>
      <c r="Q723">
        <v>0.115</v>
      </c>
      <c r="R723">
        <v>5.1100000000000003</v>
      </c>
      <c r="S723">
        <v>101.77</v>
      </c>
      <c r="T723">
        <v>120.43</v>
      </c>
      <c r="U723">
        <v>12000</v>
      </c>
      <c r="V723">
        <v>1092000</v>
      </c>
    </row>
    <row r="724" spans="1:22" x14ac:dyDescent="0.25">
      <c r="A724" t="s">
        <v>83</v>
      </c>
      <c r="B724" t="s">
        <v>84</v>
      </c>
      <c r="C724" t="str">
        <f t="shared" si="22"/>
        <v>2025</v>
      </c>
      <c r="D724" t="str">
        <f t="shared" si="23"/>
        <v>07</v>
      </c>
      <c r="E724" t="s">
        <v>80</v>
      </c>
      <c r="F724" t="s">
        <v>135</v>
      </c>
      <c r="G724" t="s">
        <v>136</v>
      </c>
      <c r="H724" t="s">
        <v>134</v>
      </c>
      <c r="I724" t="s">
        <v>26</v>
      </c>
      <c r="J724">
        <v>78</v>
      </c>
      <c r="K724">
        <v>442.33</v>
      </c>
      <c r="L724">
        <v>122.54</v>
      </c>
      <c r="M724">
        <v>0.27699999999999997</v>
      </c>
      <c r="N724">
        <v>61.35</v>
      </c>
      <c r="O724">
        <v>0.13869999999999999</v>
      </c>
      <c r="P724">
        <v>0.78</v>
      </c>
      <c r="Q724">
        <v>0.50900000000000001</v>
      </c>
      <c r="R724">
        <v>15.4</v>
      </c>
      <c r="S724">
        <v>93.24</v>
      </c>
      <c r="T724">
        <v>112.22</v>
      </c>
      <c r="U724">
        <v>12000</v>
      </c>
      <c r="V724">
        <v>1092000</v>
      </c>
    </row>
    <row r="725" spans="1:22" x14ac:dyDescent="0.25">
      <c r="A725" t="s">
        <v>85</v>
      </c>
      <c r="B725" t="s">
        <v>86</v>
      </c>
      <c r="C725" t="str">
        <f t="shared" si="22"/>
        <v>2025</v>
      </c>
      <c r="D725" t="str">
        <f t="shared" si="23"/>
        <v>10</v>
      </c>
      <c r="E725" t="s">
        <v>80</v>
      </c>
      <c r="F725" t="s">
        <v>135</v>
      </c>
      <c r="G725" t="s">
        <v>136</v>
      </c>
      <c r="H725" t="s">
        <v>134</v>
      </c>
      <c r="I725" t="s">
        <v>26</v>
      </c>
      <c r="J725">
        <v>78</v>
      </c>
      <c r="K725">
        <v>429.26</v>
      </c>
      <c r="L725">
        <v>121.94</v>
      </c>
      <c r="M725">
        <v>0.28410000000000002</v>
      </c>
      <c r="N725">
        <v>33.57</v>
      </c>
      <c r="O725">
        <v>7.8200000000000006E-2</v>
      </c>
      <c r="P725">
        <v>0.73</v>
      </c>
      <c r="Q725">
        <v>9.6999999999999989E-2</v>
      </c>
      <c r="R725">
        <v>2.85</v>
      </c>
      <c r="S725">
        <v>99.34</v>
      </c>
      <c r="T725">
        <v>111.67</v>
      </c>
      <c r="U725">
        <v>12000</v>
      </c>
      <c r="V725">
        <v>1092000</v>
      </c>
    </row>
    <row r="726" spans="1:22" x14ac:dyDescent="0.25">
      <c r="A726" t="s">
        <v>87</v>
      </c>
      <c r="B726" t="s">
        <v>88</v>
      </c>
      <c r="C726" t="str">
        <f t="shared" si="22"/>
        <v>2026</v>
      </c>
      <c r="D726" t="str">
        <f t="shared" si="23"/>
        <v>01</v>
      </c>
      <c r="E726" t="s">
        <v>89</v>
      </c>
      <c r="F726" t="s">
        <v>135</v>
      </c>
      <c r="G726" t="s">
        <v>136</v>
      </c>
      <c r="H726" t="s">
        <v>134</v>
      </c>
      <c r="I726" t="s">
        <v>26</v>
      </c>
      <c r="J726">
        <v>78</v>
      </c>
      <c r="K726">
        <v>391.37</v>
      </c>
      <c r="L726">
        <v>160.31</v>
      </c>
      <c r="M726">
        <v>0.40960000000000002</v>
      </c>
      <c r="N726">
        <v>-86.92</v>
      </c>
      <c r="O726">
        <v>-0.22210000000000002</v>
      </c>
      <c r="P726">
        <v>0.68</v>
      </c>
      <c r="Q726">
        <v>0.36</v>
      </c>
      <c r="R726">
        <v>36.42</v>
      </c>
      <c r="S726">
        <v>130.88</v>
      </c>
      <c r="T726">
        <v>146.80000000000001</v>
      </c>
      <c r="U726">
        <v>12000</v>
      </c>
      <c r="V726">
        <v>1092000</v>
      </c>
    </row>
  </sheetData>
  <autoFilter ref="A1:V726" xr:uid="{2CAACBAF-1B10-4736-BF53-32A4F8EC0F4F}"/>
  <conditionalFormatting sqref="J1:L1048576 N1:N1048576 P1:P1048576 U1:V1048576">
    <cfRule type="cellIs" dxfId="211"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C99B-3AD1-41D2-BE88-79FA747AA390}">
  <dimension ref="A3:D86"/>
  <sheetViews>
    <sheetView topLeftCell="A83" zoomScale="115" zoomScaleNormal="115" workbookViewId="0">
      <selection activeCell="C7" sqref="C7"/>
    </sheetView>
  </sheetViews>
  <sheetFormatPr defaultRowHeight="15" x14ac:dyDescent="0.25"/>
  <cols>
    <col min="1" max="1" width="13.42578125" bestFit="1" customWidth="1"/>
    <col min="2" max="2" width="7" bestFit="1" customWidth="1"/>
    <col min="3" max="3" width="8.42578125" bestFit="1" customWidth="1"/>
    <col min="4" max="4" width="5.7109375" bestFit="1" customWidth="1"/>
    <col min="5" max="29" width="16.85546875" bestFit="1" customWidth="1"/>
    <col min="30" max="30" width="11.28515625" bestFit="1" customWidth="1"/>
  </cols>
  <sheetData>
    <row r="3" spans="1:4" ht="75" x14ac:dyDescent="0.25">
      <c r="A3" s="4" t="s">
        <v>141</v>
      </c>
      <c r="B3" s="5" t="s">
        <v>145</v>
      </c>
      <c r="C3" s="5" t="s">
        <v>146</v>
      </c>
      <c r="D3" s="5" t="s">
        <v>147</v>
      </c>
    </row>
    <row r="4" spans="1:4" x14ac:dyDescent="0.25">
      <c r="A4" s="1" t="s">
        <v>55</v>
      </c>
      <c r="B4" s="2">
        <v>312007.51999999984</v>
      </c>
      <c r="C4" s="2">
        <v>18815.009999999991</v>
      </c>
      <c r="D4" s="10">
        <v>6.1519999999999998E-2</v>
      </c>
    </row>
    <row r="5" spans="1:4" x14ac:dyDescent="0.25">
      <c r="A5" s="1" t="s">
        <v>62</v>
      </c>
      <c r="B5" s="2">
        <v>312957.92999999982</v>
      </c>
      <c r="C5" s="2">
        <v>26890.530000000013</v>
      </c>
      <c r="D5" s="10">
        <v>8.6168000000000008E-2</v>
      </c>
    </row>
    <row r="6" spans="1:4" x14ac:dyDescent="0.25">
      <c r="A6" s="1" t="s">
        <v>140</v>
      </c>
      <c r="B6" s="2">
        <v>624965.4500000003</v>
      </c>
      <c r="C6" s="2">
        <v>45705.54</v>
      </c>
      <c r="D6" s="10">
        <v>7.3844000000000007E-2</v>
      </c>
    </row>
    <row r="19" spans="1:4" ht="60" x14ac:dyDescent="0.25">
      <c r="A19" s="4" t="s">
        <v>139</v>
      </c>
      <c r="B19" s="5" t="s">
        <v>148</v>
      </c>
      <c r="C19" s="5" t="s">
        <v>149</v>
      </c>
      <c r="D19" s="5" t="s">
        <v>150</v>
      </c>
    </row>
    <row r="20" spans="1:4" x14ac:dyDescent="0.25">
      <c r="A20" s="1" t="s">
        <v>53</v>
      </c>
      <c r="B20" s="2">
        <v>131.63000000000008</v>
      </c>
      <c r="C20" s="2">
        <v>2555.29</v>
      </c>
      <c r="D20" s="10">
        <v>0.33628000000000002</v>
      </c>
    </row>
    <row r="21" spans="1:4" x14ac:dyDescent="0.25">
      <c r="A21" s="1" t="s">
        <v>56</v>
      </c>
      <c r="B21" s="2">
        <v>94.489999999999966</v>
      </c>
      <c r="C21" s="2">
        <v>152.36000000000007</v>
      </c>
      <c r="D21" s="10">
        <v>0.26263999999999998</v>
      </c>
    </row>
    <row r="22" spans="1:4" x14ac:dyDescent="0.25">
      <c r="A22" s="1" t="s">
        <v>58</v>
      </c>
      <c r="B22" s="2">
        <v>105.55999999999996</v>
      </c>
      <c r="C22" s="2">
        <v>789.57000000000028</v>
      </c>
      <c r="D22" s="10">
        <v>0.39244000000000001</v>
      </c>
    </row>
    <row r="23" spans="1:4" x14ac:dyDescent="0.25">
      <c r="A23" s="1" t="s">
        <v>60</v>
      </c>
      <c r="B23" s="2">
        <v>97.130000000000052</v>
      </c>
      <c r="C23" s="2">
        <v>261.53999999999996</v>
      </c>
      <c r="D23" s="10">
        <v>0.28683999999999998</v>
      </c>
    </row>
    <row r="24" spans="1:4" x14ac:dyDescent="0.25">
      <c r="A24" s="1" t="s">
        <v>63</v>
      </c>
      <c r="B24" s="2">
        <v>101.96999999999998</v>
      </c>
      <c r="C24" s="2">
        <v>329.45</v>
      </c>
      <c r="D24" s="10">
        <v>0.23756000000000005</v>
      </c>
    </row>
    <row r="25" spans="1:4" x14ac:dyDescent="0.25">
      <c r="A25" s="1" t="s">
        <v>65</v>
      </c>
      <c r="B25" s="2">
        <v>97.52</v>
      </c>
      <c r="C25" s="2">
        <v>209.41999999999993</v>
      </c>
      <c r="D25" s="10">
        <v>0.25851999999999997</v>
      </c>
    </row>
    <row r="26" spans="1:4" x14ac:dyDescent="0.25">
      <c r="A26" s="1" t="s">
        <v>140</v>
      </c>
      <c r="B26" s="2">
        <v>104.71666666666653</v>
      </c>
      <c r="C26" s="2">
        <v>4297.630000000001</v>
      </c>
      <c r="D26" s="10">
        <v>0.29571333333333349</v>
      </c>
    </row>
    <row r="51" spans="1:3" ht="60" x14ac:dyDescent="0.25">
      <c r="A51" s="4" t="s">
        <v>139</v>
      </c>
      <c r="B51" s="6" t="s">
        <v>148</v>
      </c>
      <c r="C51" s="6" t="s">
        <v>149</v>
      </c>
    </row>
    <row r="52" spans="1:3" x14ac:dyDescent="0.25">
      <c r="A52" s="1" t="s">
        <v>53</v>
      </c>
      <c r="B52" s="2">
        <v>131.63000000000008</v>
      </c>
      <c r="C52" s="2">
        <v>2555.29</v>
      </c>
    </row>
    <row r="53" spans="1:3" x14ac:dyDescent="0.25">
      <c r="A53" s="1" t="s">
        <v>56</v>
      </c>
      <c r="B53" s="2">
        <v>94.489999999999966</v>
      </c>
      <c r="C53" s="2">
        <v>152.36000000000007</v>
      </c>
    </row>
    <row r="54" spans="1:3" x14ac:dyDescent="0.25">
      <c r="A54" s="1" t="s">
        <v>58</v>
      </c>
      <c r="B54" s="2">
        <v>105.55999999999996</v>
      </c>
      <c r="C54" s="2">
        <v>789.57000000000028</v>
      </c>
    </row>
    <row r="55" spans="1:3" x14ac:dyDescent="0.25">
      <c r="A55" s="1" t="s">
        <v>60</v>
      </c>
      <c r="B55" s="2">
        <v>97.130000000000052</v>
      </c>
      <c r="C55" s="2">
        <v>261.53999999999996</v>
      </c>
    </row>
    <row r="56" spans="1:3" x14ac:dyDescent="0.25">
      <c r="A56" s="1" t="s">
        <v>63</v>
      </c>
      <c r="B56" s="2">
        <v>101.96999999999998</v>
      </c>
      <c r="C56" s="2">
        <v>329.45</v>
      </c>
    </row>
    <row r="57" spans="1:3" x14ac:dyDescent="0.25">
      <c r="A57" s="1" t="s">
        <v>65</v>
      </c>
      <c r="B57" s="2">
        <v>97.52</v>
      </c>
      <c r="C57" s="2">
        <v>209.41999999999993</v>
      </c>
    </row>
    <row r="58" spans="1:3" x14ac:dyDescent="0.25">
      <c r="A58" s="1" t="s">
        <v>140</v>
      </c>
      <c r="B58" s="2">
        <v>104.71666666666653</v>
      </c>
      <c r="C58" s="2">
        <v>4297.630000000001</v>
      </c>
    </row>
    <row r="83" spans="1:4" ht="75" x14ac:dyDescent="0.25">
      <c r="A83" s="4" t="s">
        <v>139</v>
      </c>
      <c r="B83" s="5" t="s">
        <v>142</v>
      </c>
      <c r="C83" s="5" t="s">
        <v>143</v>
      </c>
      <c r="D83" s="5" t="s">
        <v>144</v>
      </c>
    </row>
    <row r="84" spans="1:4" ht="16.5" customHeight="1" x14ac:dyDescent="0.25">
      <c r="A84" s="1" t="s">
        <v>26</v>
      </c>
      <c r="B84" s="10">
        <v>7.4340476190476179E-2</v>
      </c>
      <c r="C84" s="10">
        <v>0.16043968253968247</v>
      </c>
      <c r="D84" s="3">
        <v>401.37999999999977</v>
      </c>
    </row>
    <row r="85" spans="1:4" x14ac:dyDescent="0.25">
      <c r="A85" s="1" t="s">
        <v>94</v>
      </c>
      <c r="B85" s="10">
        <v>7.1237499999999995E-2</v>
      </c>
      <c r="C85" s="10">
        <v>0.23775833333333332</v>
      </c>
      <c r="D85" s="3">
        <v>44.680000000000014</v>
      </c>
    </row>
    <row r="86" spans="1:4" x14ac:dyDescent="0.25">
      <c r="A86" s="1" t="s">
        <v>140</v>
      </c>
      <c r="B86" s="10">
        <v>7.3843999999999965E-2</v>
      </c>
      <c r="C86" s="10">
        <v>0.17281066666666664</v>
      </c>
      <c r="D86" s="3">
        <v>446.05999999999977</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8754-D6D3-4474-A522-B5D1CB433D05}">
  <dimension ref="A1:U5"/>
  <sheetViews>
    <sheetView tabSelected="1" zoomScale="56" zoomScaleNormal="56" workbookViewId="0">
      <selection activeCell="AB14" sqref="AB14"/>
    </sheetView>
  </sheetViews>
  <sheetFormatPr defaultRowHeight="15" x14ac:dyDescent="0.25"/>
  <cols>
    <col min="1" max="16384" width="9.140625" style="7"/>
  </cols>
  <sheetData>
    <row r="1" spans="1:21" ht="9.75" customHeight="1" x14ac:dyDescent="0.25">
      <c r="A1" s="8" t="s">
        <v>151</v>
      </c>
      <c r="B1" s="8"/>
      <c r="C1" s="8"/>
      <c r="D1" s="8"/>
      <c r="E1" s="8"/>
      <c r="F1" s="8"/>
      <c r="G1" s="8"/>
      <c r="H1" s="8"/>
      <c r="I1" s="8"/>
      <c r="J1" s="8"/>
      <c r="K1" s="8"/>
      <c r="L1" s="8"/>
      <c r="M1" s="8"/>
      <c r="N1" s="8"/>
      <c r="O1" s="8"/>
      <c r="P1" s="8"/>
      <c r="Q1" s="8"/>
      <c r="R1" s="8"/>
      <c r="S1" s="8"/>
      <c r="T1" s="8"/>
      <c r="U1" s="8"/>
    </row>
    <row r="2" spans="1:21" ht="10.5" customHeight="1" x14ac:dyDescent="0.25">
      <c r="A2" s="8"/>
      <c r="B2" s="8"/>
      <c r="C2" s="8"/>
      <c r="D2" s="8"/>
      <c r="E2" s="8"/>
      <c r="F2" s="8"/>
      <c r="G2" s="8"/>
      <c r="H2" s="8"/>
      <c r="I2" s="8"/>
      <c r="J2" s="8"/>
      <c r="K2" s="8"/>
      <c r="L2" s="8"/>
      <c r="M2" s="8"/>
      <c r="N2" s="8"/>
      <c r="O2" s="8"/>
      <c r="P2" s="8"/>
      <c r="Q2" s="8"/>
      <c r="R2" s="8"/>
      <c r="S2" s="8"/>
      <c r="T2" s="8"/>
      <c r="U2" s="8"/>
    </row>
    <row r="3" spans="1:21" ht="15" customHeight="1" x14ac:dyDescent="0.25">
      <c r="A3" s="8"/>
      <c r="B3" s="8"/>
      <c r="C3" s="8"/>
      <c r="D3" s="8"/>
      <c r="E3" s="8"/>
      <c r="F3" s="8"/>
      <c r="G3" s="8"/>
      <c r="H3" s="8"/>
      <c r="I3" s="8"/>
      <c r="J3" s="8"/>
      <c r="K3" s="8"/>
      <c r="L3" s="8"/>
      <c r="M3" s="8"/>
      <c r="N3" s="8"/>
      <c r="O3" s="8"/>
      <c r="P3" s="8"/>
      <c r="Q3" s="8"/>
      <c r="R3" s="8"/>
      <c r="S3" s="8"/>
      <c r="T3" s="8"/>
      <c r="U3" s="8"/>
    </row>
    <row r="4" spans="1:21" ht="6.75" customHeight="1" x14ac:dyDescent="0.25">
      <c r="A4" s="8"/>
      <c r="B4" s="8"/>
      <c r="C4" s="8"/>
      <c r="D4" s="8"/>
      <c r="E4" s="8"/>
      <c r="F4" s="8"/>
      <c r="G4" s="8"/>
      <c r="H4" s="8"/>
      <c r="I4" s="8"/>
      <c r="J4" s="8"/>
      <c r="K4" s="8"/>
      <c r="L4" s="8"/>
      <c r="M4" s="8"/>
      <c r="N4" s="8"/>
      <c r="O4" s="8"/>
      <c r="P4" s="8"/>
      <c r="Q4" s="8"/>
      <c r="R4" s="8"/>
      <c r="S4" s="8"/>
      <c r="T4" s="8"/>
      <c r="U4" s="8"/>
    </row>
    <row r="5" spans="1:21" ht="26.25" customHeight="1" x14ac:dyDescent="0.25">
      <c r="A5" s="9" t="s">
        <v>152</v>
      </c>
      <c r="B5" s="9"/>
      <c r="C5" s="9"/>
      <c r="D5" s="9"/>
      <c r="E5" s="9"/>
      <c r="F5" s="9"/>
      <c r="G5" s="9"/>
      <c r="H5" s="9"/>
      <c r="I5" s="9"/>
      <c r="J5" s="9"/>
      <c r="K5" s="9"/>
      <c r="L5" s="9"/>
      <c r="M5" s="9"/>
      <c r="N5" s="9"/>
      <c r="O5" s="9"/>
      <c r="P5" s="9"/>
      <c r="Q5" s="9"/>
      <c r="R5" s="9"/>
      <c r="S5" s="9"/>
      <c r="T5" s="9"/>
      <c r="U5" s="9"/>
    </row>
  </sheetData>
  <mergeCells count="2">
    <mergeCell ref="A1:U4"/>
    <mergeCell ref="A5: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airline_financial_impact</vt:lpstr>
      <vt:lpstr>staging</vt:lpstr>
      <vt:lpstr>PivotData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2026-03-23T08:09:06Z</dcterms:created>
  <dcterms:modified xsi:type="dcterms:W3CDTF">2026-03-25T05:32:47Z</dcterms:modified>
</cp:coreProperties>
</file>